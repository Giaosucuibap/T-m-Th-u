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THONG_TIN" sheetId="2" state="visible" r:id="rId2"/>
    <sheet xmlns:r="http://schemas.openxmlformats.org/officeDocument/2006/relationships" name="TIEN_LUONG" sheetId="3" state="visible" r:id="rId3"/>
    <sheet xmlns:r="http://schemas.openxmlformats.org/officeDocument/2006/relationships" name="CHIET_TINH" sheetId="4" state="visible" r:id="rId4"/>
    <sheet xmlns:r="http://schemas.openxmlformats.org/officeDocument/2006/relationships" name="TONG_HOP_VT" sheetId="5" state="visible" r:id="rId5"/>
    <sheet xmlns:r="http://schemas.openxmlformats.org/officeDocument/2006/relationships" name="GIA_DAU_VAO" sheetId="6" state="visible" r:id="rId6"/>
    <sheet xmlns:r="http://schemas.openxmlformats.org/officeDocument/2006/relationships" name="QUY_TAC_CP" sheetId="7" state="visible" r:id="rId7"/>
    <sheet xmlns:r="http://schemas.openxmlformats.org/officeDocument/2006/relationships" name="KIEM_TRA" sheetId="8" state="visible" r:id="rId8"/>
    <sheet xmlns:r="http://schemas.openxmlformats.org/officeDocument/2006/relationships" name="DM_SNAPSHOT" sheetId="9" state="visible" r:id="rId9"/>
    <sheet xmlns:r="http://schemas.openxmlformats.org/officeDocument/2006/relationships" name="NHAT_KY" sheetId="10" state="visible" r:id="rId10"/>
  </sheets>
  <definedNames>
    <definedName name="TA_RoundCost">INDEX(tblProject[value],MATCH("round_cost_digits",tblProject[key],0))</definedName>
    <definedName name="TA_RoundPrice">INDEX(tblProject[value],MATCH("round_price_digits",tblProject[key],0))</definedName>
    <definedName name="_xlnm.Print_Titles" localSheetId="0">'TONG_HOP'!$8:$8</definedName>
    <definedName name="_xlnm.Print_Titles" localSheetId="1">'THONG_TIN'!$4:$4</definedName>
    <definedName name="_xlnm.Print_Titles" localSheetId="2">'TIEN_LUONG'!$4:$4</definedName>
    <definedName name="_xlnm.Print_Titles" localSheetId="3">'CHIET_TINH'!$4:$4</definedName>
    <definedName name="_xlnm.Print_Titles" localSheetId="4">'TONG_HOP_VT'!$4:$4</definedName>
    <definedName name="_xlnm.Print_Titles" localSheetId="5">'GIA_DAU_VAO'!$4:$4</definedName>
    <definedName name="_xlnm.Print_Titles" localSheetId="6">'QUY_TAC_CP'!$4:$4</definedName>
    <definedName name="_xlnm.Print_Titles" localSheetId="7">'KIEM_TRA'!$4:$4</definedName>
    <definedName name="_xlnm.Print_Titles" localSheetId="8">'DM_SNAPSHOT'!$4:$4</definedName>
    <definedName name="_xlnm.Print_Titles" localSheetId="9">'NHAT_KY'!$4:$4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7F7F"/>
      <sz val="9"/>
    </font>
    <font>
      <b val="1"/>
      <color rgb="001F3864"/>
      <sz val="9"/>
    </font>
    <font>
      <b val="1"/>
      <sz val="9"/>
    </font>
    <font>
      <color rgb="000000FF"/>
    </font>
    <font>
      <b val="1"/>
      <color rgb="00C0000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bottom" wrapText="1"/>
    </xf>
    <xf numFmtId="0" fontId="4" fillId="2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5" fillId="3" borderId="0" applyProtection="1" pivotButton="0" quotePrefix="0" xfId="0">
      <protection locked="0" hidden="0"/>
    </xf>
    <xf numFmtId="164" fontId="5" fillId="3" borderId="0" applyProtection="1" pivotButton="0" quotePrefix="0" xfId="0">
      <protection locked="0" hidden="0"/>
    </xf>
    <xf numFmtId="164" fontId="0" fillId="0" borderId="0" pivotButton="0" quotePrefix="0" xfId="0"/>
    <xf numFmtId="3" fontId="5" fillId="3" borderId="0" applyProtection="1" pivotButton="0" quotePrefix="0" xfId="0">
      <protection locked="0" hidden="0"/>
    </xf>
    <xf numFmtId="2" fontId="5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Summary" displayName="tblSummary" ref="A8:H17" headerRowCount="1">
  <autoFilter ref="A8:H17"/>
  <tableColumns count="8">
    <tableColumn id="1" name="cost_id"/>
    <tableColumn id="2" name="item_group"/>
    <tableColumn id="3" name="cost_label"/>
    <tableColumn id="4" name="basis"/>
    <tableColumn id="5" name="rate"/>
    <tableColumn id="6" name="amount"/>
    <tableColumn id="7" name="source_ref"/>
    <tableColumn id="8" name="status"/>
  </tableColumns>
  <tableStyleInfo name="TableStyleLight1" showRowStripes="0"/>
</table>
</file>

<file path=xl/tables/table2.xml><?xml version="1.0" encoding="utf-8"?>
<table xmlns="http://schemas.openxmlformats.org/spreadsheetml/2006/main" id="2" name="tblProject" displayName="tblProject" ref="A4:D18" headerRowCount="1">
  <autoFilter ref="A4:D18"/>
  <tableColumns count="4">
    <tableColumn id="1" name="key"/>
    <tableColumn id="2" name="label"/>
    <tableColumn id="3" name="value"/>
    <tableColumn id="4" name="source_ref"/>
  </tableColumns>
  <tableStyleInfo name="TableStyleLight1" showRowStripes="0"/>
</table>
</file>

<file path=xl/tables/table3.xml><?xml version="1.0" encoding="utf-8"?>
<table xmlns="http://schemas.openxmlformats.org/spreadsheetml/2006/main" id="3" name="tblItems" displayName="tblItems" ref="A4:T8" headerRowCount="1">
  <autoFilter ref="A4:T8"/>
  <tableColumns count="20">
    <tableColumn id="1" name="item_id"/>
    <tableColumn id="2" name="group_id"/>
    <tableColumn id="3" name="code"/>
    <tableColumn id="4" name="description"/>
    <tableColumn id="5" name="norm_unit_text"/>
    <tableColumn id="6" name="input_unit"/>
    <tableColumn id="7" name="input_quantity"/>
    <tableColumn id="8" name="unit_conversion"/>
    <tableColumn id="9" name="conversion_basis"/>
    <tableColumn id="10" name="norm_basis_qty"/>
    <tableColumn id="11" name="norm_count"/>
    <tableColumn id="12" name="cost_VL"/>
    <tableColumn id="13" name="cost_NC"/>
    <tableColumn id="14" name="cost_M"/>
    <tableColumn id="15" name="direct_cost"/>
    <tableColumn id="16" name="unit_price"/>
    <tableColumn id="17" name="quantity_note"/>
    <tableColumn id="18" name="status"/>
    <tableColumn id="19" name="norm_id"/>
    <tableColumn id="20" name="snapshot_id"/>
  </tableColumns>
  <tableStyleInfo name="TableStyleLight1" showRowStripes="0"/>
</table>
</file>

<file path=xl/tables/table4.xml><?xml version="1.0" encoding="utf-8"?>
<table xmlns="http://schemas.openxmlformats.org/spreadsheetml/2006/main" id="4" name="tblAnalysis" displayName="tblAnalysis" ref="A4:T19" headerRowCount="1">
  <autoFilter ref="A4:T19"/>
  <tableColumns count="20">
    <tableColumn id="1" name="analysis_id"/>
    <tableColumn id="2" name="item_id"/>
    <tableColumn id="3" name="item_code"/>
    <tableColumn id="4" name="snapshot_line_id"/>
    <tableColumn id="5" name="resource_id"/>
    <tableColumn id="6" name="resource_spec"/>
    <tableColumn id="7" name="group"/>
    <tableColumn id="8" name="amount_kind"/>
    <tableColumn id="9" name="resource_unit"/>
    <tableColumn id="10" name="original_amount"/>
    <tableColumn id="11" name="adjustment_factor"/>
    <tableColumn id="12" name="effective_amount"/>
    <tableColumn id="13" name="norm_count"/>
    <tableColumn id="14" name="total_quantity"/>
    <tableColumn id="15" name="price_id"/>
    <tableColumn id="16" name="price"/>
    <tableColumn id="17" name="basis_ref"/>
    <tableColumn id="18" name="qty_cost"/>
    <tableColumn id="19" name="cost"/>
    <tableColumn id="20" name="status"/>
  </tableColumns>
  <tableStyleInfo name="TableStyleLight1" showRowStripes="0"/>
</table>
</file>

<file path=xl/tables/table5.xml><?xml version="1.0" encoding="utf-8"?>
<table xmlns="http://schemas.openxmlformats.org/spreadsheetml/2006/main" id="5" name="tblResourceSummary" displayName="tblResourceSummary" ref="A4:I8" headerRowCount="1">
  <autoFilter ref="A4:I8"/>
  <tableColumns count="9">
    <tableColumn id="1" name="resource_price_key"/>
    <tableColumn id="2" name="resource_id"/>
    <tableColumn id="3" name="group"/>
    <tableColumn id="4" name="spec"/>
    <tableColumn id="5" name="unit"/>
    <tableColumn id="6" name="price_id"/>
    <tableColumn id="7" name="quantity"/>
    <tableColumn id="8" name="price"/>
    <tableColumn id="9" name="cost"/>
  </tableColumns>
  <tableStyleInfo name="TableStyleLight1" showRowStripes="0"/>
</table>
</file>

<file path=xl/tables/table6.xml><?xml version="1.0" encoding="utf-8"?>
<table xmlns="http://schemas.openxmlformats.org/spreadsheetml/2006/main" id="6" name="tblPrices" displayName="tblPrices" ref="A4:Q8" headerRowCount="1">
  <autoFilter ref="A4:Q8"/>
  <tableColumns count="17">
    <tableColumn id="1" name="price_id"/>
    <tableColumn id="2" name="resource_id"/>
    <tableColumn id="3" name="group"/>
    <tableColumn id="4" name="spec"/>
    <tableColumn id="5" name="unit"/>
    <tableColumn id="6" name="locality"/>
    <tableColumn id="7" name="price_date"/>
    <tableColumn id="8" name="source_ref"/>
    <tableColumn id="9" name="quoted_price"/>
    <tableColumn id="10" name="tax_basis"/>
    <tableColumn id="11" name="includes_transport"/>
    <tableColumn id="12" name="transport"/>
    <tableColumn id="13" name="handling"/>
    <tableColumn id="14" name="effective_price"/>
    <tableColumn id="15" name="zero_reason"/>
    <tableColumn id="16" name="reviewer"/>
    <tableColumn id="17" name="status"/>
  </tableColumns>
  <tableStyleInfo name="TableStyleLight1" showRowStripes="0"/>
</table>
</file>

<file path=xl/tables/table7.xml><?xml version="1.0" encoding="utf-8"?>
<table xmlns="http://schemas.openxmlformats.org/spreadsheetml/2006/main" id="7" name="tblCostRules" displayName="tblCostRules" ref="A4:K9" headerRowCount="1">
  <autoFilter ref="A4:K9"/>
  <tableColumns count="11">
    <tableColumn id="1" name="rule_id"/>
    <tableColumn id="2" name="profile_id"/>
    <tableColumn id="3" name="label"/>
    <tableColumn id="4" name="rule_type"/>
    <tableColumn id="5" name="base_refs"/>
    <tableColumn id="6" name="rate"/>
    <tableColumn id="7" name="fixed_amount"/>
    <tableColumn id="8" name="rounding_stage"/>
    <tableColumn id="9" name="source_ref"/>
    <tableColumn id="10" name="reviewer"/>
    <tableColumn id="11" name="status"/>
  </tableColumns>
  <tableStyleInfo name="TableStyleLight1" showRowStripes="0"/>
</table>
</file>

<file path=xl/tables/table8.xml><?xml version="1.0" encoding="utf-8"?>
<table xmlns="http://schemas.openxmlformats.org/spreadsheetml/2006/main" id="8" name="tblChecks" displayName="tblChecks" ref="A4:H9" headerRowCount="1">
  <autoFilter ref="A4:H9"/>
  <tableColumns count="8">
    <tableColumn id="1" name="check_id"/>
    <tableColumn id="2" name="severity"/>
    <tableColumn id="3" name="error_code"/>
    <tableColumn id="4" name="item_id"/>
    <tableColumn id="5" name="location"/>
    <tableColumn id="6" name="message"/>
    <tableColumn id="7" name="resolution"/>
    <tableColumn id="8" name="status"/>
  </tableColumns>
  <tableStyleInfo name="TableStyleLight1" showRowStripes="0"/>
</table>
</file>

<file path=xl/tables/table9.xml><?xml version="1.0" encoding="utf-8"?>
<table xmlns="http://schemas.openxmlformats.org/spreadsheetml/2006/main" id="9" name="tblSnapshotNorms" displayName="tblSnapshotNorms" ref="A4:S8" headerRowCount="1">
  <autoFilter ref="A4:S8"/>
  <tableColumns count="19">
    <tableColumn id="1" name="snapshot_id"/>
    <tableColumn id="2" name="norm_id"/>
    <tableColumn id="3" name="catalog_release_id"/>
    <tableColumn id="4" name="namespace"/>
    <tableColumn id="5" name="document_id"/>
    <tableColumn id="6" name="catalog_revision"/>
    <tableColumn id="7" name="code"/>
    <tableColumn id="8" name="description"/>
    <tableColumn id="9" name="source_unit_text"/>
    <tableColumn id="10" name="base_unit"/>
    <tableColumn id="11" name="norm_basis_qty"/>
    <tableColumn id="12" name="vl_status"/>
    <tableColumn id="13" name="nc_status"/>
    <tableColumn id="14" name="m_status"/>
    <tableColumn id="15" name="conditions"/>
    <tableColumn id="16" name="source_ref"/>
    <tableColumn id="17" name="status"/>
    <tableColumn id="18" name="is_demo"/>
    <tableColumn id="19" name="pinned_at"/>
  </tableColumns>
  <tableStyleInfo name="TableStyleLight1" showRowStripes="0"/>
</table>
</file>

<file path=xl/tables/table10.xml><?xml version="1.0" encoding="utf-8"?>
<table xmlns="http://schemas.openxmlformats.org/spreadsheetml/2006/main" id="10" name="tblSnapshotLines" displayName="tblSnapshotLines" ref="U4:AG19" headerRowCount="1">
  <autoFilter ref="U4:AG19"/>
  <tableColumns count="13">
    <tableColumn id="21" name="snapshot_line_id"/>
    <tableColumn id="22" name="snapshot_id"/>
    <tableColumn id="23" name="local_line_id"/>
    <tableColumn id="24" name="resource_id"/>
    <tableColumn id="25" name="resource_name"/>
    <tableColumn id="26" name="resource_unit"/>
    <tableColumn id="27" name="group"/>
    <tableColumn id="28" name="amount_kind"/>
    <tableColumn id="29" name="amount"/>
    <tableColumn id="30" name="amount_text"/>
    <tableColumn id="31" name="basis_ref"/>
    <tableColumn id="32" name="status"/>
    <tableColumn id="33" name="source_ref"/>
  </tableColumns>
  <tableStyleInfo name="TableStyleLight1" showRowStripes="0"/>
</table>
</file>

<file path=xl/tables/table11.xml><?xml version="1.0" encoding="utf-8"?>
<table xmlns="http://schemas.openxmlformats.org/spreadsheetml/2006/main" id="11" name="tblSnapshotNotes" displayName="tblSnapshotNotes" ref="AI4:AM8" headerRowCount="1">
  <autoFilter ref="AI4:AM8"/>
  <tableColumns count="5">
    <tableColumn id="35" name="note_id"/>
    <tableColumn id="36" name="snapshot_id"/>
    <tableColumn id="37" name="scope"/>
    <tableColumn id="38" name="text"/>
    <tableColumn id="39" name="source_ref"/>
  </tableColumns>
  <tableStyleInfo name="TableStyleLight1" showRowStripes="0"/>
</table>
</file>

<file path=xl/tables/table12.xml><?xml version="1.0" encoding="utf-8"?>
<table xmlns="http://schemas.openxmlformats.org/spreadsheetml/2006/main" id="12" name="tblAudit" displayName="tblAudit" ref="A4:J9" headerRowCount="1">
  <autoFilter ref="A4:J9"/>
  <tableColumns count="10">
    <tableColumn id="1" name="event_id"/>
    <tableColumn id="2" name="timestamp"/>
    <tableColumn id="3" name="user"/>
    <tableColumn id="4" name="action"/>
    <tableColumn id="5" name="item_id"/>
    <tableColumn id="6" name="field"/>
    <tableColumn id="7" name="before"/>
    <tableColumn id="8" name="after"/>
    <tableColumn id="9" name="reason"/>
    <tableColumn id="10" name="source_ref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Relationship Type="http://schemas.openxmlformats.org/officeDocument/2006/relationships/table" Target="/xl/tables/table11.xml" Id="rId3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6" customWidth="1" min="4" max="4"/>
    <col width="10" customWidth="1" min="5" max="5"/>
    <col width="20" customWidth="1" min="6" max="6"/>
    <col width="30" customWidth="1" min="7" max="7"/>
    <col width="14" customWidth="1" min="8" max="8"/>
  </cols>
  <sheetData>
    <row r="1">
      <c r="A1" s="1" t="inlineStr">
        <is>
          <t>BẢNG TỔNG HỢP CHI PHÍ</t>
        </is>
      </c>
    </row>
    <row r="2">
      <c r="A2" s="2" t="inlineStr">
        <is>
          <t>Công trình:</t>
        </is>
      </c>
      <c r="F2" s="2" t="str">
        <f>INDEX(tblProject[value],MATCH("project_name",tblProject[key],0))&amp;""</f>
        <v>[DEMO] Công trình thử – số liệu giả lập</v>
      </c>
    </row>
    <row r="3">
      <c r="A3" s="2" t="inlineStr">
        <is>
          <t>Số mã DEMO trong công trình:</t>
        </is>
      </c>
      <c r="F3" s="2">
        <f>COUNTIF(tblSnapshotNorms[is_demo],TRUE)</f>
        <v>4</v>
      </c>
    </row>
    <row r="4">
      <c r="A4" s="2" t="inlineStr">
        <is>
          <t>Số dòng chiết tính lỗi (#N/A – thiếu giá, hao phí hoặc khối lượng):</t>
        </is>
      </c>
      <c r="F4" s="2">
        <f>SUMPRODUCT(--ISERROR(tblAnalysis[cost]))</f>
        <v>0</v>
      </c>
    </row>
    <row r="5">
      <c r="A5" s="2" t="inlineStr">
        <is>
          <t>Chi phí trực tiếp tạm tính, bỏ qua dòng lỗi (chỉ để tham khảo):</t>
        </is>
      </c>
      <c r="F5" s="3">
        <f>SUMIF(tblAnalysis[cost],"&lt;9.99E+307")</f>
        <v>123995000</v>
      </c>
    </row>
    <row r="6">
      <c r="A6" s="4" t="str">
        <f>"Trạng thái: "&amp;IF(F3&gt;0,"BẢN NHÁP – CÓ DỮ LIỆU DEMO, KHÔNG ĐƯỢC PHÁT HÀNH",IF(F4&gt;0,"BẢN NHÁP – CÒN DÒNG THIẾU GIÁ HOẶC HAO PHÍ","Chưa phát hành – chạy lệnh Kiểm tra phát hành trên thanh Trường An"))</f>
        <v>Trạng thái: BẢN NHÁP – CÓ DỮ LIỆU DEMO, KHÔNG ĐƯỢC PHÁT HÀNH</v>
      </c>
    </row>
    <row r="7" ht="30" customHeight="1">
      <c r="A7" s="5" t="inlineStr">
        <is>
          <t>Ký hiệu</t>
        </is>
      </c>
      <c r="B7" s="5" t="inlineStr">
        <is>
          <t>Phạm vi</t>
        </is>
      </c>
      <c r="C7" s="5" t="inlineStr">
        <is>
          <t>Khoản mục chi phí</t>
        </is>
      </c>
      <c r="D7" s="5" t="inlineStr">
        <is>
          <t>Cơ sở tính</t>
        </is>
      </c>
      <c r="E7" s="5" t="inlineStr">
        <is>
          <t>Tỷ lệ (%)</t>
        </is>
      </c>
      <c r="F7" s="5" t="inlineStr">
        <is>
          <t>Thành tiền</t>
        </is>
      </c>
      <c r="G7" s="5" t="inlineStr">
        <is>
          <t>Căn cứ</t>
        </is>
      </c>
      <c r="H7" s="5" t="inlineStr">
        <is>
          <t>Trạng thái</t>
        </is>
      </c>
    </row>
    <row r="8">
      <c r="A8" s="6" t="inlineStr">
        <is>
          <t>cost_id</t>
        </is>
      </c>
      <c r="B8" s="6" t="inlineStr">
        <is>
          <t>item_group</t>
        </is>
      </c>
      <c r="C8" s="6" t="inlineStr">
        <is>
          <t>cost_label</t>
        </is>
      </c>
      <c r="D8" s="6" t="inlineStr">
        <is>
          <t>basis</t>
        </is>
      </c>
      <c r="E8" s="6" t="inlineStr">
        <is>
          <t>rate</t>
        </is>
      </c>
      <c r="F8" s="6" t="inlineStr">
        <is>
          <t>amount</t>
        </is>
      </c>
      <c r="G8" s="6" t="inlineStr">
        <is>
          <t>source_ref</t>
        </is>
      </c>
      <c r="H8" s="6" t="inlineStr">
        <is>
          <t>status</t>
        </is>
      </c>
    </row>
    <row r="9">
      <c r="A9" t="inlineStr">
        <is>
          <t>VL</t>
        </is>
      </c>
      <c r="B9" t="inlineStr">
        <is>
          <t>Toàn bộ</t>
        </is>
      </c>
      <c r="C9" t="inlineStr">
        <is>
          <t>Chi phí vật liệu</t>
        </is>
      </c>
      <c r="D9" t="inlineStr">
        <is>
          <t>CHIET_TINH</t>
        </is>
      </c>
      <c r="E9" s="7" t="n"/>
      <c r="F9" s="8">
        <f>SUMIFS(tblAnalysis[cost],tblAnalysis[group],"VL")</f>
        <v>101595000</v>
      </c>
      <c r="G9" t="inlineStr">
        <is>
          <t>Tổng từ CHIET_TINH</t>
        </is>
      </c>
      <c r="H9" t="inlineStr">
        <is>
          <t>auto</t>
        </is>
      </c>
    </row>
    <row r="10">
      <c r="A10" t="inlineStr">
        <is>
          <t>NC</t>
        </is>
      </c>
      <c r="B10" t="inlineStr">
        <is>
          <t>Toàn bộ</t>
        </is>
      </c>
      <c r="C10" t="inlineStr">
        <is>
          <t>Chi phí nhân công</t>
        </is>
      </c>
      <c r="D10" t="inlineStr">
        <is>
          <t>CHIET_TINH</t>
        </is>
      </c>
      <c r="E10" s="7" t="n"/>
      <c r="F10" s="8">
        <f>SUMIFS(tblAnalysis[cost],tblAnalysis[group],"NC")</f>
        <v>16200000</v>
      </c>
      <c r="G10" t="inlineStr">
        <is>
          <t>Tổng từ CHIET_TINH</t>
        </is>
      </c>
      <c r="H10" t="inlineStr">
        <is>
          <t>auto</t>
        </is>
      </c>
    </row>
    <row r="11">
      <c r="A11" t="inlineStr">
        <is>
          <t>M</t>
        </is>
      </c>
      <c r="B11" t="inlineStr">
        <is>
          <t>Toàn bộ</t>
        </is>
      </c>
      <c r="C11" t="inlineStr">
        <is>
          <t>Chi phí máy thi công</t>
        </is>
      </c>
      <c r="D11" t="inlineStr">
        <is>
          <t>CHIET_TINH</t>
        </is>
      </c>
      <c r="E11" s="7" t="n"/>
      <c r="F11" s="8">
        <f>SUMIFS(tblAnalysis[cost],tblAnalysis[group],"M")</f>
        <v>6200000</v>
      </c>
      <c r="G11" t="inlineStr">
        <is>
          <t>Tổng từ CHIET_TINH</t>
        </is>
      </c>
      <c r="H11" t="inlineStr">
        <is>
          <t>auto</t>
        </is>
      </c>
    </row>
    <row r="12">
      <c r="A12" t="inlineStr">
        <is>
          <t>T</t>
        </is>
      </c>
      <c r="B12" t="inlineStr">
        <is>
          <t>Toàn bộ</t>
        </is>
      </c>
      <c r="C12" t="inlineStr">
        <is>
          <t>Chi phí trực tiếp (VL + NC + M)</t>
        </is>
      </c>
      <c r="D12" t="inlineStr">
        <is>
          <t>VL;NC;M</t>
        </is>
      </c>
      <c r="E12" s="7" t="n"/>
      <c r="F12" s="8">
        <f>F9+F10+F11</f>
        <v>123995000</v>
      </c>
      <c r="G12" t="inlineStr"/>
      <c r="H12" t="inlineStr">
        <is>
          <t>auto</t>
        </is>
      </c>
    </row>
    <row r="13">
      <c r="A13" t="inlineStr">
        <is>
          <t>C</t>
        </is>
      </c>
      <c r="B13" t="inlineStr">
        <is>
          <t>Toàn bộ</t>
        </is>
      </c>
      <c r="C13" t="inlineStr">
        <is>
          <t>[DEMO] Chi phí gián tiếp giả lập</t>
        </is>
      </c>
      <c r="D13" t="inlineStr">
        <is>
          <t>T</t>
        </is>
      </c>
      <c r="E13" s="7">
        <f>IF(ISNUMBER(INDEX(tblCostRules[rate],MATCH("C",tblCostRules[rule_id],0))),INDEX(tblCostRules[rate],MATCH("C",tblCostRules[rule_id],0)),NA())</f>
        <v>3.5</v>
      </c>
      <c r="F13" s="8">
        <f>ROUND(E13/100*(F12),TA_RoundCost)</f>
        <v>4339825</v>
      </c>
      <c r="G13" t="inlineStr">
        <is>
          <t>DEMO – không có căn cứ pháp lý</t>
        </is>
      </c>
      <c r="H13" t="inlineStr">
        <is>
          <t>demo</t>
        </is>
      </c>
    </row>
    <row r="14">
      <c r="A14" t="inlineStr">
        <is>
          <t>TL</t>
        </is>
      </c>
      <c r="B14" t="inlineStr">
        <is>
          <t>Toàn bộ</t>
        </is>
      </c>
      <c r="C14" t="inlineStr">
        <is>
          <t>[DEMO] Thu nhập chịu thuế tính trước giả lập</t>
        </is>
      </c>
      <c r="D14" t="inlineStr">
        <is>
          <t>T;C</t>
        </is>
      </c>
      <c r="E14" s="7">
        <f>IF(ISNUMBER(INDEX(tblCostRules[rate],MATCH("TL",tblCostRules[rule_id],0))),INDEX(tblCostRules[rate],MATCH("TL",tblCostRules[rule_id],0)),NA())</f>
        <v>2.5</v>
      </c>
      <c r="F14" s="8">
        <f>ROUND(E14/100*(F12+F13),TA_RoundCost)</f>
        <v>3208371</v>
      </c>
      <c r="G14" t="inlineStr">
        <is>
          <t>DEMO – không có căn cứ pháp lý</t>
        </is>
      </c>
      <c r="H14" t="inlineStr">
        <is>
          <t>demo</t>
        </is>
      </c>
    </row>
    <row r="15">
      <c r="A15" t="inlineStr">
        <is>
          <t>G</t>
        </is>
      </c>
      <c r="B15" t="inlineStr">
        <is>
          <t>Toàn bộ</t>
        </is>
      </c>
      <c r="C15" t="inlineStr">
        <is>
          <t>[DEMO] Chi phí trước thuế</t>
        </is>
      </c>
      <c r="D15" t="inlineStr">
        <is>
          <t>T;C;TL</t>
        </is>
      </c>
      <c r="E15" s="7" t="n"/>
      <c r="F15" s="8">
        <f>F12+F13+F14</f>
        <v>131543196</v>
      </c>
      <c r="G15" t="inlineStr">
        <is>
          <t>DEMO – không có căn cứ pháp lý</t>
        </is>
      </c>
      <c r="H15" t="inlineStr">
        <is>
          <t>demo</t>
        </is>
      </c>
    </row>
    <row r="16">
      <c r="A16" t="inlineStr">
        <is>
          <t>GTGT</t>
        </is>
      </c>
      <c r="B16" t="inlineStr">
        <is>
          <t>Toàn bộ</t>
        </is>
      </c>
      <c r="C16" t="inlineStr">
        <is>
          <t>[DEMO] Thuế giá trị gia tăng giả lập</t>
        </is>
      </c>
      <c r="D16" t="inlineStr">
        <is>
          <t>G</t>
        </is>
      </c>
      <c r="E16" s="7">
        <f>IF(ISNUMBER(INDEX(tblCostRules[rate],MATCH("GTGT",tblCostRules[rule_id],0))),INDEX(tblCostRules[rate],MATCH("GTGT",tblCostRules[rule_id],0)),NA())</f>
        <v>7.5</v>
      </c>
      <c r="F16" s="8">
        <f>ROUND(E16/100*(F15),TA_RoundCost)</f>
        <v>9865740</v>
      </c>
      <c r="G16" t="inlineStr">
        <is>
          <t>DEMO – không có căn cứ pháp lý</t>
        </is>
      </c>
      <c r="H16" t="inlineStr">
        <is>
          <t>demo</t>
        </is>
      </c>
    </row>
    <row r="17">
      <c r="A17" t="inlineStr">
        <is>
          <t>GXD</t>
        </is>
      </c>
      <c r="B17" t="inlineStr">
        <is>
          <t>Toàn bộ</t>
        </is>
      </c>
      <c r="C17" t="inlineStr">
        <is>
          <t>[DEMO] Tổng chi phí sau thuế</t>
        </is>
      </c>
      <c r="D17" t="inlineStr">
        <is>
          <t>G;GTGT</t>
        </is>
      </c>
      <c r="E17" s="7" t="n"/>
      <c r="F17" s="8">
        <f>F15+F16</f>
        <v>141408936</v>
      </c>
      <c r="G17" t="inlineStr">
        <is>
          <t>DEMO – không có căn cứ pháp lý</t>
        </is>
      </c>
      <c r="H17" t="inlineStr">
        <is>
          <t>demo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&amp;LTA Estimate – &amp;A&amp;CTrang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40" customWidth="1" min="3" max="3"/>
    <col width="40" customWidth="1" min="4" max="4"/>
  </cols>
  <sheetData>
    <row r="1">
      <c r="A1" s="1" t="inlineStr">
        <is>
          <t>THÔNG TIN CÔNG TRÌNH VÀ QUY ƯỚC</t>
        </is>
      </c>
    </row>
    <row r="2">
      <c r="A2" s="9" t="inlineStr">
        <is>
          <t>Ô nền vàng chữ xanh là ô nhập. Ô khác do add-in ghi hoặc là công thức Excel chuẩn – không sửa tay.</t>
        </is>
      </c>
    </row>
    <row r="3" ht="30" customHeight="1">
      <c r="A3" s="5" t="inlineStr">
        <is>
          <t>Khóa</t>
        </is>
      </c>
      <c r="B3" s="5" t="inlineStr">
        <is>
          <t>Nội dung</t>
        </is>
      </c>
      <c r="C3" s="5" t="inlineStr">
        <is>
          <t>Giá trị</t>
        </is>
      </c>
      <c r="D3" s="5" t="inlineStr">
        <is>
          <t>Căn cứ / ghi chú</t>
        </is>
      </c>
    </row>
    <row r="4">
      <c r="A4" s="6" t="inlineStr">
        <is>
          <t>key</t>
        </is>
      </c>
      <c r="B4" s="6" t="inlineStr">
        <is>
          <t>label</t>
        </is>
      </c>
      <c r="C4" s="6" t="inlineStr">
        <is>
          <t>value</t>
        </is>
      </c>
      <c r="D4" s="6" t="inlineStr">
        <is>
          <t>source_ref</t>
        </is>
      </c>
    </row>
    <row r="5">
      <c r="A5" t="inlineStr">
        <is>
          <t>schema_version</t>
        </is>
      </c>
      <c r="B5" t="inlineStr">
        <is>
          <t>Phiên bản cấu trúc file</t>
        </is>
      </c>
      <c r="C5" s="10" t="inlineStr">
        <is>
          <t>1.1</t>
        </is>
      </c>
      <c r="D5" s="10" t="inlineStr"/>
    </row>
    <row r="6">
      <c r="A6" t="inlineStr">
        <is>
          <t>code_version</t>
        </is>
      </c>
      <c r="B6" t="inlineStr">
        <is>
          <t>Phiên bản add-in đã tạo file</t>
        </is>
      </c>
      <c r="C6" s="10" t="inlineStr">
        <is>
          <t>0.1.0</t>
        </is>
      </c>
      <c r="D6" s="10" t="inlineStr"/>
    </row>
    <row r="7">
      <c r="A7" t="inlineStr">
        <is>
          <t>project_name</t>
        </is>
      </c>
      <c r="B7" t="inlineStr">
        <is>
          <t>Tên công trình</t>
        </is>
      </c>
      <c r="C7" s="10" t="inlineStr">
        <is>
          <t>[DEMO] Công trình thử – số liệu giả lập</t>
        </is>
      </c>
      <c r="D7" s="10" t="inlineStr"/>
    </row>
    <row r="8">
      <c r="A8" t="inlineStr">
        <is>
          <t>project_item</t>
        </is>
      </c>
      <c r="B8" t="inlineStr">
        <is>
          <t>Hạng mục</t>
        </is>
      </c>
      <c r="C8" s="10" t="inlineStr"/>
      <c r="D8" s="10" t="inlineStr"/>
    </row>
    <row r="9">
      <c r="A9" t="inlineStr">
        <is>
          <t>owner</t>
        </is>
      </c>
      <c r="B9" t="inlineStr">
        <is>
          <t>Chủ đầu tư</t>
        </is>
      </c>
      <c r="C9" s="10" t="inlineStr"/>
      <c r="D9" s="10" t="inlineStr"/>
    </row>
    <row r="10">
      <c r="A10" t="inlineStr">
        <is>
          <t>locality</t>
        </is>
      </c>
      <c r="B10" t="inlineStr">
        <is>
          <t>Địa bàn xây dựng</t>
        </is>
      </c>
      <c r="C10" s="10" t="inlineStr">
        <is>
          <t>DEMO</t>
        </is>
      </c>
      <c r="D10" s="10" t="inlineStr"/>
    </row>
    <row r="11">
      <c r="A11" t="inlineStr">
        <is>
          <t>price_period</t>
        </is>
      </c>
      <c r="B11" t="inlineStr">
        <is>
          <t>Thời điểm lập giá</t>
        </is>
      </c>
      <c r="C11" s="10" t="inlineStr">
        <is>
          <t>DEMO</t>
        </is>
      </c>
      <c r="D11" s="10" t="inlineStr"/>
    </row>
    <row r="12">
      <c r="A12" t="inlineStr">
        <is>
          <t>catalog_release_id</t>
        </is>
      </c>
      <c r="B12" t="inlineStr">
        <is>
          <t>Bộ định mức đã chốt cho công trình</t>
        </is>
      </c>
      <c r="C12" s="10" t="inlineStr">
        <is>
          <t>DEMO-1</t>
        </is>
      </c>
      <c r="D12" s="10" t="inlineStr"/>
    </row>
    <row r="13">
      <c r="A13" t="inlineStr">
        <is>
          <t>cost_rule_profile_id</t>
        </is>
      </c>
      <c r="B13" t="inlineStr">
        <is>
          <t>Bộ quy tắc chi phí áp dụng</t>
        </is>
      </c>
      <c r="C13" s="10" t="inlineStr">
        <is>
          <t>DEMO-PROFILE</t>
        </is>
      </c>
      <c r="D13" s="10" t="inlineStr"/>
    </row>
    <row r="14">
      <c r="A14" t="inlineStr">
        <is>
          <t>round_cost_digits</t>
        </is>
      </c>
      <c r="B14" t="inlineStr">
        <is>
          <t>Số chữ số thập phân làm tròn thành tiền</t>
        </is>
      </c>
      <c r="C14" s="10" t="n">
        <v>0</v>
      </c>
      <c r="D14" s="10" t="inlineStr"/>
    </row>
    <row r="15">
      <c r="A15" t="inlineStr">
        <is>
          <t>round_price_digits</t>
        </is>
      </c>
      <c r="B15" t="inlineStr">
        <is>
          <t>Số chữ số thập phân làm tròn giá áp dụng</t>
        </is>
      </c>
      <c r="C15" s="10" t="n">
        <v>0</v>
      </c>
      <c r="D15" s="10" t="inlineStr"/>
    </row>
    <row r="16">
      <c r="A16" t="inlineStr">
        <is>
          <t>currency</t>
        </is>
      </c>
      <c r="B16" t="inlineStr">
        <is>
          <t>Đơn vị tiền</t>
        </is>
      </c>
      <c r="C16" s="10" t="inlineStr">
        <is>
          <t>VND</t>
        </is>
      </c>
      <c r="D16" s="10" t="inlineStr"/>
    </row>
    <row r="17">
      <c r="A17" t="inlineStr">
        <is>
          <t>prepared_by</t>
        </is>
      </c>
      <c r="B17" t="inlineStr">
        <is>
          <t>Người lập</t>
        </is>
      </c>
      <c r="C17" s="10" t="inlineStr">
        <is>
          <t>TA Estimate build</t>
        </is>
      </c>
      <c r="D17" s="10" t="inlineStr"/>
    </row>
    <row r="18">
      <c r="A18" t="inlineStr">
        <is>
          <t>doc_status</t>
        </is>
      </c>
      <c r="B18" t="inlineStr">
        <is>
          <t>Trạng thái hồ sơ (draft/issued)</t>
        </is>
      </c>
      <c r="C18" s="10" t="inlineStr">
        <is>
          <t>draft</t>
        </is>
      </c>
      <c r="D18" s="10" t="inlineStr"/>
    </row>
  </sheetData>
  <pageMargins left="0.75" right="0.75" top="1" bottom="1" header="0.5" footer="0.5"/>
  <pageSetup orientation="landscape" paperSize="9" fitToHeight="0" fitToWidth="1"/>
  <headerFooter>
    <oddHeader/>
    <oddFooter>&amp;LTA Estimate – &amp;A&amp;CTrang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40" customWidth="1" min="4" max="4"/>
    <col width="10" customWidth="1" min="5" max="5"/>
    <col width="9" customWidth="1" min="6" max="6"/>
    <col width="12" customWidth="1" min="7" max="7"/>
    <col width="10" customWidth="1" min="8" max="8"/>
    <col width="18" customWidth="1" min="9" max="9"/>
    <col width="9" customWidth="1" min="10" max="10"/>
    <col width="11" customWidth="1" min="11" max="11"/>
    <col width="15" customWidth="1" min="12" max="12"/>
    <col width="15" customWidth="1" min="13" max="13"/>
    <col width="15" customWidth="1" min="14" max="14"/>
    <col width="16" customWidth="1" min="15" max="15"/>
    <col width="14" customWidth="1" min="16" max="16"/>
    <col width="28" customWidth="1" min="17" max="17"/>
    <col width="12" customWidth="1" min="18" max="18"/>
    <col width="26" customWidth="1" min="19" max="19"/>
    <col width="10" customWidth="1" min="20" max="20"/>
  </cols>
  <sheetData>
    <row r="1">
      <c r="A1" s="1" t="inlineStr">
        <is>
          <t>TIÊN LƯỢNG VÀ DỰ TOÁN CHI TIẾT</t>
        </is>
      </c>
    </row>
    <row r="2">
      <c r="A2" s="9" t="inlineStr">
        <is>
          <t>Ô nền vàng chữ xanh là ô nhập. Ô khác do add-in ghi hoặc là công thức Excel chuẩn – không sửa tay.</t>
        </is>
      </c>
    </row>
    <row r="3" ht="30" customHeight="1">
      <c r="A3" s="5" t="inlineStr">
        <is>
          <t>Mã dòng</t>
        </is>
      </c>
      <c r="B3" s="5" t="inlineStr">
        <is>
          <t>Hạng mục</t>
        </is>
      </c>
      <c r="C3" s="5" t="inlineStr">
        <is>
          <t>Mã hiệu ĐM</t>
        </is>
      </c>
      <c r="D3" s="5" t="inlineStr">
        <is>
          <t>Nội dung công tác</t>
        </is>
      </c>
      <c r="E3" s="5" t="inlineStr">
        <is>
          <t>Đơn vị ĐM</t>
        </is>
      </c>
      <c r="F3" s="5" t="inlineStr">
        <is>
          <t>Đơn vị nhập</t>
        </is>
      </c>
      <c r="G3" s="5" t="inlineStr">
        <is>
          <t>Khối lượng</t>
        </is>
      </c>
      <c r="H3" s="5" t="inlineStr">
        <is>
          <t>Hệ số đổi ĐV</t>
        </is>
      </c>
      <c r="I3" s="5" t="inlineStr">
        <is>
          <t>Căn cứ đổi ĐV</t>
        </is>
      </c>
      <c r="J3" s="5" t="inlineStr">
        <is>
          <t>Quy mô ĐM</t>
        </is>
      </c>
      <c r="K3" s="5" t="inlineStr">
        <is>
          <t>Số đơn vị ĐM</t>
        </is>
      </c>
      <c r="L3" s="5" t="inlineStr">
        <is>
          <t>Thành tiền VL</t>
        </is>
      </c>
      <c r="M3" s="5" t="inlineStr">
        <is>
          <t>Thành tiền NC</t>
        </is>
      </c>
      <c r="N3" s="5" t="inlineStr">
        <is>
          <t>Thành tiền M</t>
        </is>
      </c>
      <c r="O3" s="5" t="inlineStr">
        <is>
          <t>Chi phí trực tiếp</t>
        </is>
      </c>
      <c r="P3" s="5" t="inlineStr">
        <is>
          <t>Đơn giá TK</t>
        </is>
      </c>
      <c r="Q3" s="5" t="inlineStr">
        <is>
          <t>Diễn giải khối lượng</t>
        </is>
      </c>
      <c r="R3" s="5" t="inlineStr">
        <is>
          <t>Trạng thái mã</t>
        </is>
      </c>
      <c r="S3" s="5" t="inlineStr">
        <is>
          <t>Khóa định mức</t>
        </is>
      </c>
      <c r="T3" s="5" t="inlineStr">
        <is>
          <t>Snapshot</t>
        </is>
      </c>
    </row>
    <row r="4">
      <c r="A4" s="6" t="inlineStr">
        <is>
          <t>item_id</t>
        </is>
      </c>
      <c r="B4" s="6" t="inlineStr">
        <is>
          <t>group_id</t>
        </is>
      </c>
      <c r="C4" s="6" t="inlineStr">
        <is>
          <t>code</t>
        </is>
      </c>
      <c r="D4" s="6" t="inlineStr">
        <is>
          <t>description</t>
        </is>
      </c>
      <c r="E4" s="6" t="inlineStr">
        <is>
          <t>norm_unit_text</t>
        </is>
      </c>
      <c r="F4" s="6" t="inlineStr">
        <is>
          <t>input_unit</t>
        </is>
      </c>
      <c r="G4" s="6" t="inlineStr">
        <is>
          <t>input_quantity</t>
        </is>
      </c>
      <c r="H4" s="6" t="inlineStr">
        <is>
          <t>unit_conversion</t>
        </is>
      </c>
      <c r="I4" s="6" t="inlineStr">
        <is>
          <t>conversion_basis</t>
        </is>
      </c>
      <c r="J4" s="6" t="inlineStr">
        <is>
          <t>norm_basis_qty</t>
        </is>
      </c>
      <c r="K4" s="6" t="inlineStr">
        <is>
          <t>norm_count</t>
        </is>
      </c>
      <c r="L4" s="6" t="inlineStr">
        <is>
          <t>cost_VL</t>
        </is>
      </c>
      <c r="M4" s="6" t="inlineStr">
        <is>
          <t>cost_NC</t>
        </is>
      </c>
      <c r="N4" s="6" t="inlineStr">
        <is>
          <t>cost_M</t>
        </is>
      </c>
      <c r="O4" s="6" t="inlineStr">
        <is>
          <t>direct_cost</t>
        </is>
      </c>
      <c r="P4" s="6" t="inlineStr">
        <is>
          <t>unit_price</t>
        </is>
      </c>
      <c r="Q4" s="6" t="inlineStr">
        <is>
          <t>quantity_note</t>
        </is>
      </c>
      <c r="R4" s="6" t="inlineStr">
        <is>
          <t>status</t>
        </is>
      </c>
      <c r="S4" s="6" t="inlineStr">
        <is>
          <t>norm_id</t>
        </is>
      </c>
      <c r="T4" s="6" t="inlineStr">
        <is>
          <t>snapshot_id</t>
        </is>
      </c>
    </row>
    <row r="5">
      <c r="A5" t="inlineStr">
        <is>
          <t>IT0001</t>
        </is>
      </c>
      <c r="B5" s="10" t="inlineStr">
        <is>
          <t>HM1</t>
        </is>
      </c>
      <c r="C5" t="inlineStr">
        <is>
          <t>DEMO.001</t>
        </is>
      </c>
      <c r="D5" s="10" t="inlineStr">
        <is>
          <t>[DEMO] Công tác giả lập theo 100 m³</t>
        </is>
      </c>
      <c r="E5" t="str">
        <f>INDEX(tblSnapshotNorms[source_unit_text],MATCH(tblItems[[#This Row],[snapshot_id]],tblSnapshotNorms[snapshot_id],0))</f>
        <v>100 m³</v>
      </c>
      <c r="F5" s="10" t="inlineStr">
        <is>
          <t>m3</t>
        </is>
      </c>
      <c r="G5" s="11" t="n">
        <v>250</v>
      </c>
      <c r="H5" s="11" t="n">
        <v>1</v>
      </c>
      <c r="I5" s="10" t="inlineStr"/>
      <c r="J5" s="12">
        <f>IF(ISNUMBER(INDEX(tblSnapshotNorms[norm_basis_qty],MATCH(tblItems[[#This Row],[snapshot_id]],tblSnapshotNorms[snapshot_id],0))),INDEX(tblSnapshotNorms[norm_basis_qty],MATCH(tblItems[[#This Row],[snapshot_id]],tblSnapshotNorms[snapshot_id],0)),NA())</f>
        <v>100</v>
      </c>
      <c r="K5" s="12">
        <f>IF(AND(ISNUMBER(tblItems[[#This Row],[input_quantity]]),ISNUMBER(tblItems[[#This Row],[unit_conversion]]),ISNUMBER(tblItems[[#This Row],[norm_basis_qty]])),IF(AND(tblItems[[#This Row],[norm_basis_qty]]&gt;0,tblItems[[#This Row],[unit_conversion]]&gt;0),tblItems[[#This Row],[input_quantity]]*tblItems[[#This Row],[unit_conversion]]/tblItems[[#This Row],[norm_basis_qty]],NA()),NA())</f>
        <v>2.5</v>
      </c>
      <c r="L5" s="8">
        <f>SUMIFS(tblAnalysis[cost],tblAnalysis[item_id],tblItems[[#This Row],[item_id]],tblAnalysis[group],"VL")</f>
        <v>510000</v>
      </c>
      <c r="M5" s="8">
        <f>SUMIFS(tblAnalysis[cost],tblAnalysis[item_id],tblItems[[#This Row],[item_id]],tblAnalysis[group],"NC")</f>
        <v>2000000</v>
      </c>
      <c r="N5" s="8">
        <f>SUMIFS(tblAnalysis[cost],tblAnalysis[item_id],tblItems[[#This Row],[item_id]],tblAnalysis[group],"M")</f>
        <v>2500000</v>
      </c>
      <c r="O5" s="8">
        <f>tblItems[[#This Row],[cost_VL]]+tblItems[[#This Row],[cost_NC]]+tblItems[[#This Row],[cost_M]]</f>
        <v>5010000</v>
      </c>
      <c r="P5" s="8">
        <f>IF(AND(ISNUMBER(tblItems[[#This Row],[direct_cost]]),ISNUMBER(tblItems[[#This Row],[input_quantity]])),IF(tblItems[[#This Row],[input_quantity]]&gt;0,tblItems[[#This Row],[direct_cost]]/tblItems[[#This Row],[input_quantity]],""),NA())</f>
        <v>20040</v>
      </c>
      <c r="Q5" s="10" t="inlineStr"/>
      <c r="R5" t="str">
        <f>IF(INDEX(tblSnapshotNorms[is_demo],MATCH(tblItems[[#This Row],[snapshot_id]],tblSnapshotNorms[snapshot_id],0))=TRUE,"demo",INDEX(tblSnapshotNorms[status],MATCH(tblItems[[#This Row],[snapshot_id]],tblSnapshotNorms[snapshot_id],0)))</f>
        <v>demo</v>
      </c>
      <c r="S5" t="inlineStr">
        <is>
          <t>DEMO|D01|1|DEMO.001|base</t>
        </is>
      </c>
      <c r="T5" t="inlineStr">
        <is>
          <t>SN0001</t>
        </is>
      </c>
    </row>
    <row r="6">
      <c r="A6" t="inlineStr">
        <is>
          <t>IT0002</t>
        </is>
      </c>
      <c r="B6" s="10" t="inlineStr">
        <is>
          <t>HM1</t>
        </is>
      </c>
      <c r="C6" t="inlineStr">
        <is>
          <t>DEMO.001</t>
        </is>
      </c>
      <c r="D6" s="10" t="inlineStr">
        <is>
          <t>[DEMO] Công tác giả lập theo 100 m³</t>
        </is>
      </c>
      <c r="E6" t="str">
        <f>INDEX(tblSnapshotNorms[source_unit_text],MATCH(tblItems[[#This Row],[snapshot_id]],tblSnapshotNorms[snapshot_id],0))</f>
        <v>100 m³</v>
      </c>
      <c r="F6" s="10" t="inlineStr">
        <is>
          <t>m3</t>
        </is>
      </c>
      <c r="G6" s="11" t="n">
        <v>250</v>
      </c>
      <c r="H6" s="11" t="n">
        <v>1</v>
      </c>
      <c r="I6" s="10" t="inlineStr"/>
      <c r="J6" s="12">
        <f>IF(ISNUMBER(INDEX(tblSnapshotNorms[norm_basis_qty],MATCH(tblItems[[#This Row],[snapshot_id]],tblSnapshotNorms[snapshot_id],0))),INDEX(tblSnapshotNorms[norm_basis_qty],MATCH(tblItems[[#This Row],[snapshot_id]],tblSnapshotNorms[snapshot_id],0)),NA())</f>
        <v>100</v>
      </c>
      <c r="K6" s="12">
        <f>IF(AND(ISNUMBER(tblItems[[#This Row],[input_quantity]]),ISNUMBER(tblItems[[#This Row],[unit_conversion]]),ISNUMBER(tblItems[[#This Row],[norm_basis_qty]])),IF(AND(tblItems[[#This Row],[norm_basis_qty]]&gt;0,tblItems[[#This Row],[unit_conversion]]&gt;0),tblItems[[#This Row],[input_quantity]]*tblItems[[#This Row],[unit_conversion]]/tblItems[[#This Row],[norm_basis_qty]],NA()),NA())</f>
        <v>2.5</v>
      </c>
      <c r="L6" s="8">
        <f>SUMIFS(tblAnalysis[cost],tblAnalysis[item_id],tblItems[[#This Row],[item_id]],tblAnalysis[group],"VL")</f>
        <v>510000</v>
      </c>
      <c r="M6" s="8">
        <f>SUMIFS(tblAnalysis[cost],tblAnalysis[item_id],tblItems[[#This Row],[item_id]],tblAnalysis[group],"NC")</f>
        <v>2200000</v>
      </c>
      <c r="N6" s="8">
        <f>SUMIFS(tblAnalysis[cost],tblAnalysis[item_id],tblItems[[#This Row],[item_id]],tblAnalysis[group],"M")</f>
        <v>2500000</v>
      </c>
      <c r="O6" s="8">
        <f>tblItems[[#This Row],[cost_VL]]+tblItems[[#This Row],[cost_NC]]+tblItems[[#This Row],[cost_M]]</f>
        <v>5210000</v>
      </c>
      <c r="P6" s="8">
        <f>IF(AND(ISNUMBER(tblItems[[#This Row],[direct_cost]]),ISNUMBER(tblItems[[#This Row],[input_quantity]])),IF(tblItems[[#This Row],[input_quantity]]&gt;0,tblItems[[#This Row],[direct_cost]]/tblItems[[#This Row],[input_quantity]],""),NA())</f>
        <v>20840</v>
      </c>
      <c r="Q6" s="10" t="inlineStr"/>
      <c r="R6" t="str">
        <f>IF(INDEX(tblSnapshotNorms[is_demo],MATCH(tblItems[[#This Row],[snapshot_id]],tblSnapshotNorms[snapshot_id],0))=TRUE,"demo",INDEX(tblSnapshotNorms[status],MATCH(tblItems[[#This Row],[snapshot_id]],tblSnapshotNorms[snapshot_id],0)))</f>
        <v>demo</v>
      </c>
      <c r="S6" t="inlineStr">
        <is>
          <t>DEMO|D01|1|DEMO.001|base</t>
        </is>
      </c>
      <c r="T6" t="inlineStr">
        <is>
          <t>SN0002</t>
        </is>
      </c>
    </row>
    <row r="7">
      <c r="A7" t="inlineStr">
        <is>
          <t>IT0003</t>
        </is>
      </c>
      <c r="B7" s="10" t="inlineStr">
        <is>
          <t>HM1</t>
        </is>
      </c>
      <c r="C7" t="inlineStr">
        <is>
          <t>DEMO.020</t>
        </is>
      </c>
      <c r="D7" s="10" t="inlineStr">
        <is>
          <t>[DEMO] Bê tông kênh giả lập, vật liệu khác theo % nhóm VL</t>
        </is>
      </c>
      <c r="E7" t="str">
        <f>INDEX(tblSnapshotNorms[source_unit_text],MATCH(tblItems[[#This Row],[snapshot_id]],tblSnapshotNorms[snapshot_id],0))</f>
        <v>1 m³</v>
      </c>
      <c r="F7" s="10" t="inlineStr">
        <is>
          <t>m3</t>
        </is>
      </c>
      <c r="G7" s="11" t="n">
        <v>12</v>
      </c>
      <c r="H7" s="11" t="n">
        <v>1</v>
      </c>
      <c r="I7" s="10" t="inlineStr"/>
      <c r="J7" s="12">
        <f>IF(ISNUMBER(INDEX(tblSnapshotNorms[norm_basis_qty],MATCH(tblItems[[#This Row],[snapshot_id]],tblSnapshotNorms[snapshot_id],0))),INDEX(tblSnapshotNorms[norm_basis_qty],MATCH(tblItems[[#This Row],[snapshot_id]],tblSnapshotNorms[snapshot_id],0)),NA())</f>
        <v>1</v>
      </c>
      <c r="K7" s="12">
        <f>IF(AND(ISNUMBER(tblItems[[#This Row],[input_quantity]]),ISNUMBER(tblItems[[#This Row],[unit_conversion]]),ISNUMBER(tblItems[[#This Row],[norm_basis_qty]])),IF(AND(tblItems[[#This Row],[norm_basis_qty]]&gt;0,tblItems[[#This Row],[unit_conversion]]&gt;0),tblItems[[#This Row],[input_quantity]]*tblItems[[#This Row],[unit_conversion]]/tblItems[[#This Row],[norm_basis_qty]],NA()),NA())</f>
        <v>12</v>
      </c>
      <c r="L7" s="8">
        <f>SUMIFS(tblAnalysis[cost],tblAnalysis[item_id],tblItems[[#This Row],[item_id]],tblAnalysis[group],"VL")</f>
        <v>82215000</v>
      </c>
      <c r="M7" s="8">
        <f>SUMIFS(tblAnalysis[cost],tblAnalysis[item_id],tblItems[[#This Row],[item_id]],tblAnalysis[group],"NC")</f>
        <v>7200000</v>
      </c>
      <c r="N7" s="8">
        <f>SUMIFS(tblAnalysis[cost],tblAnalysis[item_id],tblItems[[#This Row],[item_id]],tblAnalysis[group],"M")</f>
        <v>1200000</v>
      </c>
      <c r="O7" s="8">
        <f>tblItems[[#This Row],[cost_VL]]+tblItems[[#This Row],[cost_NC]]+tblItems[[#This Row],[cost_M]]</f>
        <v>90615000</v>
      </c>
      <c r="P7" s="8">
        <f>IF(AND(ISNUMBER(tblItems[[#This Row],[direct_cost]]),ISNUMBER(tblItems[[#This Row],[input_quantity]])),IF(tblItems[[#This Row],[input_quantity]]&gt;0,tblItems[[#This Row],[direct_cost]]/tblItems[[#This Row],[input_quantity]],""),NA())</f>
        <v>7551250</v>
      </c>
      <c r="Q7" s="10" t="inlineStr"/>
      <c r="R7" t="str">
        <f>IF(INDEX(tblSnapshotNorms[is_demo],MATCH(tblItems[[#This Row],[snapshot_id]],tblSnapshotNorms[snapshot_id],0))=TRUE,"demo",INDEX(tblSnapshotNorms[status],MATCH(tblItems[[#This Row],[snapshot_id]],tblSnapshotNorms[snapshot_id],0)))</f>
        <v>demo</v>
      </c>
      <c r="S7" t="inlineStr">
        <is>
          <t>DEMO|D01|1|DEMO.020|base</t>
        </is>
      </c>
      <c r="T7" t="inlineStr">
        <is>
          <t>SN0003</t>
        </is>
      </c>
    </row>
    <row r="8">
      <c r="A8" t="inlineStr">
        <is>
          <t>IT0004</t>
        </is>
      </c>
      <c r="B8" s="10" t="inlineStr">
        <is>
          <t>HM2</t>
        </is>
      </c>
      <c r="C8" t="inlineStr">
        <is>
          <t>DEMO.030</t>
        </is>
      </c>
      <c r="D8" s="10" t="inlineStr">
        <is>
          <t>[DEMO] Công tác giả lập tính theo kg (thử đổi tấn sang kg)</t>
        </is>
      </c>
      <c r="E8" t="str">
        <f>INDEX(tblSnapshotNorms[source_unit_text],MATCH(tblItems[[#This Row],[snapshot_id]],tblSnapshotNorms[snapshot_id],0))</f>
        <v>1 kg</v>
      </c>
      <c r="F8" s="10" t="inlineStr">
        <is>
          <t>t</t>
        </is>
      </c>
      <c r="G8" s="11" t="n">
        <v>1.2</v>
      </c>
      <c r="H8" s="11" t="n">
        <v>1000</v>
      </c>
      <c r="I8" s="10" t="inlineStr">
        <is>
          <t>Đổi tấn sang kg theo bảng đơn vị (1 t = 1000 kg)</t>
        </is>
      </c>
      <c r="J8" s="12">
        <f>IF(ISNUMBER(INDEX(tblSnapshotNorms[norm_basis_qty],MATCH(tblItems[[#This Row],[snapshot_id]],tblSnapshotNorms[snapshot_id],0))),INDEX(tblSnapshotNorms[norm_basis_qty],MATCH(tblItems[[#This Row],[snapshot_id]],tblSnapshotNorms[snapshot_id],0)),NA())</f>
        <v>1</v>
      </c>
      <c r="K8" s="12">
        <f>IF(AND(ISNUMBER(tblItems[[#This Row],[input_quantity]]),ISNUMBER(tblItems[[#This Row],[unit_conversion]]),ISNUMBER(tblItems[[#This Row],[norm_basis_qty]])),IF(AND(tblItems[[#This Row],[norm_basis_qty]]&gt;0,tblItems[[#This Row],[unit_conversion]]&gt;0),tblItems[[#This Row],[input_quantity]]*tblItems[[#This Row],[unit_conversion]]/tblItems[[#This Row],[norm_basis_qty]],NA()),NA())</f>
        <v>1200</v>
      </c>
      <c r="L8" s="8">
        <f>SUMIFS(tblAnalysis[cost],tblAnalysis[item_id],tblItems[[#This Row],[item_id]],tblAnalysis[group],"VL")</f>
        <v>18360000</v>
      </c>
      <c r="M8" s="8">
        <f>SUMIFS(tblAnalysis[cost],tblAnalysis[item_id],tblItems[[#This Row],[item_id]],tblAnalysis[group],"NC")</f>
        <v>4800000</v>
      </c>
      <c r="N8" s="8">
        <f>SUMIFS(tblAnalysis[cost],tblAnalysis[item_id],tblItems[[#This Row],[item_id]],tblAnalysis[group],"M")</f>
        <v>0</v>
      </c>
      <c r="O8" s="8">
        <f>tblItems[[#This Row],[cost_VL]]+tblItems[[#This Row],[cost_NC]]+tblItems[[#This Row],[cost_M]]</f>
        <v>23160000</v>
      </c>
      <c r="P8" s="8">
        <f>IF(AND(ISNUMBER(tblItems[[#This Row],[direct_cost]]),ISNUMBER(tblItems[[#This Row],[input_quantity]])),IF(tblItems[[#This Row],[input_quantity]]&gt;0,tblItems[[#This Row],[direct_cost]]/tblItems[[#This Row],[input_quantity]],""),NA())</f>
        <v>19300000</v>
      </c>
      <c r="Q8" s="10" t="inlineStr"/>
      <c r="R8" t="str">
        <f>IF(INDEX(tblSnapshotNorms[is_demo],MATCH(tblItems[[#This Row],[snapshot_id]],tblSnapshotNorms[snapshot_id],0))=TRUE,"demo",INDEX(tblSnapshotNorms[status],MATCH(tblItems[[#This Row],[snapshot_id]],tblSnapshotNorms[snapshot_id],0)))</f>
        <v>demo</v>
      </c>
      <c r="S8" t="inlineStr">
        <is>
          <t>DEMO|D01|1|DEMO.030|base</t>
        </is>
      </c>
      <c r="T8" t="inlineStr">
        <is>
          <t>SN0004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&amp;LTA Estimate – &amp;A&amp;CTrang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3" customWidth="1" min="4" max="4"/>
    <col width="12" customWidth="1" min="5" max="5"/>
    <col width="30" customWidth="1" min="6" max="6"/>
    <col width="6" customWidth="1" min="7" max="7"/>
    <col width="9" customWidth="1" min="8" max="8"/>
    <col width="7" customWidth="1" min="9" max="9"/>
    <col width="11" customWidth="1" min="10" max="10"/>
    <col width="10" customWidth="1" min="11" max="11"/>
    <col width="11" customWidth="1" min="12" max="12"/>
    <col width="11" customWidth="1" min="13" max="13"/>
    <col width="13" customWidth="1" min="14" max="14"/>
    <col width="14" customWidth="1" min="15" max="15"/>
    <col width="13" customWidth="1" min="16" max="16"/>
    <col width="14" customWidth="1" min="17" max="17"/>
    <col width="14" customWidth="1" min="18" max="18"/>
    <col width="14" customWidth="1" min="19" max="19"/>
    <col width="12" customWidth="1" min="20" max="20"/>
  </cols>
  <sheetData>
    <row r="1">
      <c r="A1" s="1" t="inlineStr">
        <is>
          <t>CHIẾT TÍNH HAO PHÍ THEO TỪNG CÔNG TÁC</t>
        </is>
      </c>
    </row>
    <row r="2">
      <c r="A2" s="9" t="inlineStr">
        <is>
          <t>Ô nền vàng chữ xanh là ô nhập. Ô khác do add-in ghi hoặc là công thức Excel chuẩn – không sửa tay.</t>
        </is>
      </c>
    </row>
    <row r="3" ht="30" customHeight="1">
      <c r="A3" s="5" t="inlineStr">
        <is>
          <t>Mã dòng CT</t>
        </is>
      </c>
      <c r="B3" s="5" t="inlineStr">
        <is>
          <t>Mã dòng TL</t>
        </is>
      </c>
      <c r="C3" s="5" t="inlineStr">
        <is>
          <t>Mã hiệu ĐM</t>
        </is>
      </c>
      <c r="D3" s="5" t="inlineStr">
        <is>
          <t>Dòng hao phí</t>
        </is>
      </c>
      <c r="E3" s="5" t="inlineStr">
        <is>
          <t>Mã tài nguyên</t>
        </is>
      </c>
      <c r="F3" s="5" t="inlineStr">
        <is>
          <t>Tên / quy cách</t>
        </is>
      </c>
      <c r="G3" s="5" t="inlineStr">
        <is>
          <t>Nhóm</t>
        </is>
      </c>
      <c r="H3" s="5" t="inlineStr">
        <is>
          <t>Loại</t>
        </is>
      </c>
      <c r="I3" s="5" t="inlineStr">
        <is>
          <t>Đơn vị</t>
        </is>
      </c>
      <c r="J3" s="5" t="inlineStr">
        <is>
          <t>Hao phí gốc</t>
        </is>
      </c>
      <c r="K3" s="5" t="inlineStr">
        <is>
          <t>Hệ số điều chỉnh</t>
        </is>
      </c>
      <c r="L3" s="5" t="inlineStr">
        <is>
          <t>Hao phí áp dụng</t>
        </is>
      </c>
      <c r="M3" s="5" t="inlineStr">
        <is>
          <t>Số đơn vị ĐM</t>
        </is>
      </c>
      <c r="N3" s="5" t="inlineStr">
        <is>
          <t>Lượng tài nguyên</t>
        </is>
      </c>
      <c r="O3" s="5" t="inlineStr">
        <is>
          <t>Mã giá</t>
        </is>
      </c>
      <c r="P3" s="5" t="inlineStr">
        <is>
          <t>Giá áp dụng</t>
        </is>
      </c>
      <c r="Q3" s="5" t="inlineStr">
        <is>
          <t>Cơ sở % (dòng/nhóm)</t>
        </is>
      </c>
      <c r="R3" s="5" t="inlineStr">
        <is>
          <t>Tiền theo lượng</t>
        </is>
      </c>
      <c r="S3" s="5" t="inlineStr">
        <is>
          <t>Thành tiền</t>
        </is>
      </c>
      <c r="T3" s="5" t="inlineStr">
        <is>
          <t>Trạng thái dòng</t>
        </is>
      </c>
    </row>
    <row r="4">
      <c r="A4" s="6" t="inlineStr">
        <is>
          <t>analysis_id</t>
        </is>
      </c>
      <c r="B4" s="6" t="inlineStr">
        <is>
          <t>item_id</t>
        </is>
      </c>
      <c r="C4" s="6" t="inlineStr">
        <is>
          <t>item_code</t>
        </is>
      </c>
      <c r="D4" s="6" t="inlineStr">
        <is>
          <t>snapshot_line_id</t>
        </is>
      </c>
      <c r="E4" s="6" t="inlineStr">
        <is>
          <t>resource_id</t>
        </is>
      </c>
      <c r="F4" s="6" t="inlineStr">
        <is>
          <t>resource_spec</t>
        </is>
      </c>
      <c r="G4" s="6" t="inlineStr">
        <is>
          <t>group</t>
        </is>
      </c>
      <c r="H4" s="6" t="inlineStr">
        <is>
          <t>amount_kind</t>
        </is>
      </c>
      <c r="I4" s="6" t="inlineStr">
        <is>
          <t>resource_unit</t>
        </is>
      </c>
      <c r="J4" s="6" t="inlineStr">
        <is>
          <t>original_amount</t>
        </is>
      </c>
      <c r="K4" s="6" t="inlineStr">
        <is>
          <t>adjustment_factor</t>
        </is>
      </c>
      <c r="L4" s="6" t="inlineStr">
        <is>
          <t>effective_amount</t>
        </is>
      </c>
      <c r="M4" s="6" t="inlineStr">
        <is>
          <t>norm_count</t>
        </is>
      </c>
      <c r="N4" s="6" t="inlineStr">
        <is>
          <t>total_quantity</t>
        </is>
      </c>
      <c r="O4" s="6" t="inlineStr">
        <is>
          <t>price_id</t>
        </is>
      </c>
      <c r="P4" s="6" t="inlineStr">
        <is>
          <t>price</t>
        </is>
      </c>
      <c r="Q4" s="6" t="inlineStr">
        <is>
          <t>basis_ref</t>
        </is>
      </c>
      <c r="R4" s="6" t="inlineStr">
        <is>
          <t>qty_cost</t>
        </is>
      </c>
      <c r="S4" s="6" t="inlineStr">
        <is>
          <t>cost</t>
        </is>
      </c>
      <c r="T4" s="6" t="inlineStr">
        <is>
          <t>status</t>
        </is>
      </c>
    </row>
    <row r="5">
      <c r="A5" t="inlineStr">
        <is>
          <t>AN000001</t>
        </is>
      </c>
      <c r="B5" t="inlineStr">
        <is>
          <t>IT0001</t>
        </is>
      </c>
      <c r="C5" t="str">
        <f>INDEX(tblItems[code],MATCH(tblAnalysis[[#This Row],[item_id]],tblItems[item_id],0))</f>
        <v>DEMO.001</v>
      </c>
      <c r="D5" t="inlineStr">
        <is>
          <t>SN0001.L1</t>
        </is>
      </c>
      <c r="E5" t="inlineStr">
        <is>
          <t>DEMO.VL1</t>
        </is>
      </c>
      <c r="F5" t="inlineStr">
        <is>
          <t>Vật liệu thử</t>
        </is>
      </c>
      <c r="G5" t="inlineStr">
        <is>
          <t>VL</t>
        </is>
      </c>
      <c r="H5" t="inlineStr">
        <is>
          <t>quantity</t>
        </is>
      </c>
      <c r="I5" t="inlineStr">
        <is>
          <t>kg</t>
        </is>
      </c>
      <c r="J5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10</v>
      </c>
      <c r="K5" s="11" t="n">
        <v>1</v>
      </c>
      <c r="L5" s="12">
        <f>IF(ISNUMBER(tblAnalysis[[#This Row],[adjustment_factor]]),tblAnalysis[[#This Row],[original_amount]]*tblAnalysis[[#This Row],[adjustment_factor]],NA())</f>
        <v>10</v>
      </c>
      <c r="M5" s="12">
        <f>INDEX(tblItems[norm_count],MATCH(tblAnalysis[[#This Row],[item_id]],tblItems[item_id],0))</f>
        <v>2.5</v>
      </c>
      <c r="N5" s="12">
        <f>IF(tblAnalysis[[#This Row],[amount_kind]]="quantity",tblAnalysis[[#This Row],[norm_count]]*tblAnalysis[[#This Row],[effective_amount]],"")</f>
        <v>25</v>
      </c>
      <c r="O5" s="10" t="inlineStr">
        <is>
          <t>P.DEMO.VL1</t>
        </is>
      </c>
      <c r="P5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20000</v>
      </c>
      <c r="Q5" t="inlineStr"/>
      <c r="R5" s="8">
        <f>IF(tblAnalysis[[#This Row],[amount_kind]]="quantity",ROUND(tblAnalysis[[#This Row],[total_quantity]]*tblAnalysis[[#This Row],[price]],TA_RoundCost),"")</f>
        <v>500000</v>
      </c>
      <c r="S5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500000</v>
      </c>
      <c r="T5" t="inlineStr">
        <is>
          <t>verified</t>
        </is>
      </c>
    </row>
    <row r="6">
      <c r="A6" t="inlineStr">
        <is>
          <t>AN000002</t>
        </is>
      </c>
      <c r="B6" t="inlineStr">
        <is>
          <t>IT0001</t>
        </is>
      </c>
      <c r="C6" t="str">
        <f>INDEX(tblItems[code],MATCH(tblAnalysis[[#This Row],[item_id]],tblItems[item_id],0))</f>
        <v>DEMO.001</v>
      </c>
      <c r="D6" t="inlineStr">
        <is>
          <t>SN0001.L2</t>
        </is>
      </c>
      <c r="E6" t="inlineStr">
        <is>
          <t>DEMO.NC1</t>
        </is>
      </c>
      <c r="F6" t="inlineStr">
        <is>
          <t>Nhân công thử</t>
        </is>
      </c>
      <c r="G6" t="inlineStr">
        <is>
          <t>NC</t>
        </is>
      </c>
      <c r="H6" t="inlineStr">
        <is>
          <t>quantity</t>
        </is>
      </c>
      <c r="I6" t="inlineStr">
        <is>
          <t>cong</t>
        </is>
      </c>
      <c r="J6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2</v>
      </c>
      <c r="K6" s="11" t="n">
        <v>1</v>
      </c>
      <c r="L6" s="12">
        <f>IF(ISNUMBER(tblAnalysis[[#This Row],[adjustment_factor]]),tblAnalysis[[#This Row],[original_amount]]*tblAnalysis[[#This Row],[adjustment_factor]],NA())</f>
        <v>2</v>
      </c>
      <c r="M6" s="12">
        <f>INDEX(tblItems[norm_count],MATCH(tblAnalysis[[#This Row],[item_id]],tblItems[item_id],0))</f>
        <v>2.5</v>
      </c>
      <c r="N6" s="12">
        <f>IF(tblAnalysis[[#This Row],[amount_kind]]="quantity",tblAnalysis[[#This Row],[norm_count]]*tblAnalysis[[#This Row],[effective_amount]],"")</f>
        <v>5</v>
      </c>
      <c r="O6" s="10" t="inlineStr">
        <is>
          <t>P.DEMO.NC1</t>
        </is>
      </c>
      <c r="P6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400000</v>
      </c>
      <c r="Q6" t="inlineStr"/>
      <c r="R6" s="8">
        <f>IF(tblAnalysis[[#This Row],[amount_kind]]="quantity",ROUND(tblAnalysis[[#This Row],[total_quantity]]*tblAnalysis[[#This Row],[price]],TA_RoundCost),"")</f>
        <v>2000000</v>
      </c>
      <c r="S6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2000000</v>
      </c>
      <c r="T6" t="inlineStr">
        <is>
          <t>verified</t>
        </is>
      </c>
    </row>
    <row r="7">
      <c r="A7" t="inlineStr">
        <is>
          <t>AN000003</t>
        </is>
      </c>
      <c r="B7" t="inlineStr">
        <is>
          <t>IT0001</t>
        </is>
      </c>
      <c r="C7" t="str">
        <f>INDEX(tblItems[code],MATCH(tblAnalysis[[#This Row],[item_id]],tblItems[item_id],0))</f>
        <v>DEMO.001</v>
      </c>
      <c r="D7" t="inlineStr">
        <is>
          <t>SN0001.L3</t>
        </is>
      </c>
      <c r="E7" t="inlineStr">
        <is>
          <t>DEMO.M1</t>
        </is>
      </c>
      <c r="F7" t="inlineStr">
        <is>
          <t>Máy thử</t>
        </is>
      </c>
      <c r="G7" t="inlineStr">
        <is>
          <t>M</t>
        </is>
      </c>
      <c r="H7" t="inlineStr">
        <is>
          <t>quantity</t>
        </is>
      </c>
      <c r="I7" t="inlineStr">
        <is>
          <t>ca</t>
        </is>
      </c>
      <c r="J7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1</v>
      </c>
      <c r="K7" s="11" t="n">
        <v>1</v>
      </c>
      <c r="L7" s="12">
        <f>IF(ISNUMBER(tblAnalysis[[#This Row],[adjustment_factor]]),tblAnalysis[[#This Row],[original_amount]]*tblAnalysis[[#This Row],[adjustment_factor]],NA())</f>
        <v>1</v>
      </c>
      <c r="M7" s="12">
        <f>INDEX(tblItems[norm_count],MATCH(tblAnalysis[[#This Row],[item_id]],tblItems[item_id],0))</f>
        <v>2.5</v>
      </c>
      <c r="N7" s="12">
        <f>IF(tblAnalysis[[#This Row],[amount_kind]]="quantity",tblAnalysis[[#This Row],[norm_count]]*tblAnalysis[[#This Row],[effective_amount]],"")</f>
        <v>2.5</v>
      </c>
      <c r="O7" s="10" t="inlineStr">
        <is>
          <t>P.DEMO.M1</t>
        </is>
      </c>
      <c r="P7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1000000</v>
      </c>
      <c r="Q7" t="inlineStr"/>
      <c r="R7" s="8">
        <f>IF(tblAnalysis[[#This Row],[amount_kind]]="quantity",ROUND(tblAnalysis[[#This Row],[total_quantity]]*tblAnalysis[[#This Row],[price]],TA_RoundCost),"")</f>
        <v>2500000</v>
      </c>
      <c r="S7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2500000</v>
      </c>
      <c r="T7" t="inlineStr">
        <is>
          <t>verified</t>
        </is>
      </c>
    </row>
    <row r="8">
      <c r="A8" t="inlineStr">
        <is>
          <t>AN000004</t>
        </is>
      </c>
      <c r="B8" t="inlineStr">
        <is>
          <t>IT0001</t>
        </is>
      </c>
      <c r="C8" t="str">
        <f>INDEX(tblItems[code],MATCH(tblAnalysis[[#This Row],[item_id]],tblItems[item_id],0))</f>
        <v>DEMO.001</v>
      </c>
      <c r="D8" t="inlineStr">
        <is>
          <t>SN0001.L4</t>
        </is>
      </c>
      <c r="E8" t="inlineStr"/>
      <c r="F8" t="inlineStr">
        <is>
          <t>Khoản % (2% trên L1)</t>
        </is>
      </c>
      <c r="G8" t="inlineStr">
        <is>
          <t>VL</t>
        </is>
      </c>
      <c r="H8" t="inlineStr">
        <is>
          <t>percent</t>
        </is>
      </c>
      <c r="I8" t="inlineStr">
        <is>
          <t>%</t>
        </is>
      </c>
      <c r="J8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2</v>
      </c>
      <c r="K8" s="11" t="n">
        <v>1</v>
      </c>
      <c r="L8" s="12">
        <f>IF(ISNUMBER(tblAnalysis[[#This Row],[adjustment_factor]]),tblAnalysis[[#This Row],[original_amount]]*tblAnalysis[[#This Row],[adjustment_factor]],NA())</f>
        <v>2</v>
      </c>
      <c r="M8" s="12">
        <f>INDEX(tblItems[norm_count],MATCH(tblAnalysis[[#This Row],[item_id]],tblItems[item_id],0))</f>
        <v>2.5</v>
      </c>
      <c r="N8" s="12">
        <f>IF(tblAnalysis[[#This Row],[amount_kind]]="quantity",tblAnalysis[[#This Row],[norm_count]]*tblAnalysis[[#This Row],[effective_amount]],"")</f>
      </c>
      <c r="O8" s="10" t="inlineStr"/>
      <c r="P8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</c>
      <c r="Q8" t="inlineStr">
        <is>
          <t>SN0001.L1</t>
        </is>
      </c>
      <c r="R8" s="8">
        <f>IF(tblAnalysis[[#This Row],[amount_kind]]="quantity",ROUND(tblAnalysis[[#This Row],[total_quantity]]*tblAnalysis[[#This Row],[price]],TA_RoundCost),"")</f>
      </c>
      <c r="S8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10000</v>
      </c>
      <c r="T8" t="inlineStr">
        <is>
          <t>verified</t>
        </is>
      </c>
    </row>
    <row r="9">
      <c r="A9" t="inlineStr">
        <is>
          <t>AN000005</t>
        </is>
      </c>
      <c r="B9" t="inlineStr">
        <is>
          <t>IT0002</t>
        </is>
      </c>
      <c r="C9" t="str">
        <f>INDEX(tblItems[code],MATCH(tblAnalysis[[#This Row],[item_id]],tblItems[item_id],0))</f>
        <v>DEMO.001</v>
      </c>
      <c r="D9" t="inlineStr">
        <is>
          <t>SN0002.L1</t>
        </is>
      </c>
      <c r="E9" t="inlineStr">
        <is>
          <t>DEMO.VL1</t>
        </is>
      </c>
      <c r="F9" t="inlineStr">
        <is>
          <t>Vật liệu thử</t>
        </is>
      </c>
      <c r="G9" t="inlineStr">
        <is>
          <t>VL</t>
        </is>
      </c>
      <c r="H9" t="inlineStr">
        <is>
          <t>quantity</t>
        </is>
      </c>
      <c r="I9" t="inlineStr">
        <is>
          <t>kg</t>
        </is>
      </c>
      <c r="J9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10</v>
      </c>
      <c r="K9" s="11" t="n">
        <v>1</v>
      </c>
      <c r="L9" s="12">
        <f>IF(ISNUMBER(tblAnalysis[[#This Row],[adjustment_factor]]),tblAnalysis[[#This Row],[original_amount]]*tblAnalysis[[#This Row],[adjustment_factor]],NA())</f>
        <v>10</v>
      </c>
      <c r="M9" s="12">
        <f>INDEX(tblItems[norm_count],MATCH(tblAnalysis[[#This Row],[item_id]],tblItems[item_id],0))</f>
        <v>2.5</v>
      </c>
      <c r="N9" s="12">
        <f>IF(tblAnalysis[[#This Row],[amount_kind]]="quantity",tblAnalysis[[#This Row],[norm_count]]*tblAnalysis[[#This Row],[effective_amount]],"")</f>
        <v>25</v>
      </c>
      <c r="O9" s="10" t="inlineStr">
        <is>
          <t>P.DEMO.VL1</t>
        </is>
      </c>
      <c r="P9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20000</v>
      </c>
      <c r="Q9" t="inlineStr"/>
      <c r="R9" s="8">
        <f>IF(tblAnalysis[[#This Row],[amount_kind]]="quantity",ROUND(tblAnalysis[[#This Row],[total_quantity]]*tblAnalysis[[#This Row],[price]],TA_RoundCost),"")</f>
        <v>500000</v>
      </c>
      <c r="S9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500000</v>
      </c>
      <c r="T9" t="inlineStr">
        <is>
          <t>verified</t>
        </is>
      </c>
    </row>
    <row r="10">
      <c r="A10" t="inlineStr">
        <is>
          <t>AN000006</t>
        </is>
      </c>
      <c r="B10" t="inlineStr">
        <is>
          <t>IT0002</t>
        </is>
      </c>
      <c r="C10" t="str">
        <f>INDEX(tblItems[code],MATCH(tblAnalysis[[#This Row],[item_id]],tblItems[item_id],0))</f>
        <v>DEMO.001</v>
      </c>
      <c r="D10" t="inlineStr">
        <is>
          <t>SN0002.L2</t>
        </is>
      </c>
      <c r="E10" t="inlineStr">
        <is>
          <t>DEMO.NC1</t>
        </is>
      </c>
      <c r="F10" t="inlineStr">
        <is>
          <t>Nhân công thử</t>
        </is>
      </c>
      <c r="G10" t="inlineStr">
        <is>
          <t>NC</t>
        </is>
      </c>
      <c r="H10" t="inlineStr">
        <is>
          <t>quantity</t>
        </is>
      </c>
      <c r="I10" t="inlineStr">
        <is>
          <t>cong</t>
        </is>
      </c>
      <c r="J10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2</v>
      </c>
      <c r="K10" s="11" t="n">
        <v>1.1</v>
      </c>
      <c r="L10" s="12">
        <f>IF(ISNUMBER(tblAnalysis[[#This Row],[adjustment_factor]]),tblAnalysis[[#This Row],[original_amount]]*tblAnalysis[[#This Row],[adjustment_factor]],NA())</f>
        <v>2.2</v>
      </c>
      <c r="M10" s="12">
        <f>INDEX(tblItems[norm_count],MATCH(tblAnalysis[[#This Row],[item_id]],tblItems[item_id],0))</f>
        <v>2.5</v>
      </c>
      <c r="N10" s="12">
        <f>IF(tblAnalysis[[#This Row],[amount_kind]]="quantity",tblAnalysis[[#This Row],[norm_count]]*tblAnalysis[[#This Row],[effective_amount]],"")</f>
        <v>5.5</v>
      </c>
      <c r="O10" s="10" t="inlineStr">
        <is>
          <t>P.DEMO.NC1</t>
        </is>
      </c>
      <c r="P10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400000</v>
      </c>
      <c r="Q10" t="inlineStr"/>
      <c r="R10" s="8">
        <f>IF(tblAnalysis[[#This Row],[amount_kind]]="quantity",ROUND(tblAnalysis[[#This Row],[total_quantity]]*tblAnalysis[[#This Row],[price]],TA_RoundCost),"")</f>
        <v>2200000</v>
      </c>
      <c r="S10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2200000</v>
      </c>
      <c r="T10" t="inlineStr">
        <is>
          <t>verified</t>
        </is>
      </c>
    </row>
    <row r="11">
      <c r="A11" t="inlineStr">
        <is>
          <t>AN000007</t>
        </is>
      </c>
      <c r="B11" t="inlineStr">
        <is>
          <t>IT0002</t>
        </is>
      </c>
      <c r="C11" t="str">
        <f>INDEX(tblItems[code],MATCH(tblAnalysis[[#This Row],[item_id]],tblItems[item_id],0))</f>
        <v>DEMO.001</v>
      </c>
      <c r="D11" t="inlineStr">
        <is>
          <t>SN0002.L3</t>
        </is>
      </c>
      <c r="E11" t="inlineStr">
        <is>
          <t>DEMO.M1</t>
        </is>
      </c>
      <c r="F11" t="inlineStr">
        <is>
          <t>Máy thử</t>
        </is>
      </c>
      <c r="G11" t="inlineStr">
        <is>
          <t>M</t>
        </is>
      </c>
      <c r="H11" t="inlineStr">
        <is>
          <t>quantity</t>
        </is>
      </c>
      <c r="I11" t="inlineStr">
        <is>
          <t>ca</t>
        </is>
      </c>
      <c r="J11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1</v>
      </c>
      <c r="K11" s="11" t="n">
        <v>1</v>
      </c>
      <c r="L11" s="12">
        <f>IF(ISNUMBER(tblAnalysis[[#This Row],[adjustment_factor]]),tblAnalysis[[#This Row],[original_amount]]*tblAnalysis[[#This Row],[adjustment_factor]],NA())</f>
        <v>1</v>
      </c>
      <c r="M11" s="12">
        <f>INDEX(tblItems[norm_count],MATCH(tblAnalysis[[#This Row],[item_id]],tblItems[item_id],0))</f>
        <v>2.5</v>
      </c>
      <c r="N11" s="12">
        <f>IF(tblAnalysis[[#This Row],[amount_kind]]="quantity",tblAnalysis[[#This Row],[norm_count]]*tblAnalysis[[#This Row],[effective_amount]],"")</f>
        <v>2.5</v>
      </c>
      <c r="O11" s="10" t="inlineStr">
        <is>
          <t>P.DEMO.M1</t>
        </is>
      </c>
      <c r="P11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1000000</v>
      </c>
      <c r="Q11" t="inlineStr"/>
      <c r="R11" s="8">
        <f>IF(tblAnalysis[[#This Row],[amount_kind]]="quantity",ROUND(tblAnalysis[[#This Row],[total_quantity]]*tblAnalysis[[#This Row],[price]],TA_RoundCost),"")</f>
        <v>2500000</v>
      </c>
      <c r="S11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2500000</v>
      </c>
      <c r="T11" t="inlineStr">
        <is>
          <t>verified</t>
        </is>
      </c>
    </row>
    <row r="12">
      <c r="A12" t="inlineStr">
        <is>
          <t>AN000008</t>
        </is>
      </c>
      <c r="B12" t="inlineStr">
        <is>
          <t>IT0002</t>
        </is>
      </c>
      <c r="C12" t="str">
        <f>INDEX(tblItems[code],MATCH(tblAnalysis[[#This Row],[item_id]],tblItems[item_id],0))</f>
        <v>DEMO.001</v>
      </c>
      <c r="D12" t="inlineStr">
        <is>
          <t>SN0002.L4</t>
        </is>
      </c>
      <c r="E12" t="inlineStr"/>
      <c r="F12" t="inlineStr">
        <is>
          <t>Khoản % (2% trên L1)</t>
        </is>
      </c>
      <c r="G12" t="inlineStr">
        <is>
          <t>VL</t>
        </is>
      </c>
      <c r="H12" t="inlineStr">
        <is>
          <t>percent</t>
        </is>
      </c>
      <c r="I12" t="inlineStr">
        <is>
          <t>%</t>
        </is>
      </c>
      <c r="J12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2</v>
      </c>
      <c r="K12" s="11" t="n">
        <v>1</v>
      </c>
      <c r="L12" s="12">
        <f>IF(ISNUMBER(tblAnalysis[[#This Row],[adjustment_factor]]),tblAnalysis[[#This Row],[original_amount]]*tblAnalysis[[#This Row],[adjustment_factor]],NA())</f>
        <v>2</v>
      </c>
      <c r="M12" s="12">
        <f>INDEX(tblItems[norm_count],MATCH(tblAnalysis[[#This Row],[item_id]],tblItems[item_id],0))</f>
        <v>2.5</v>
      </c>
      <c r="N12" s="12">
        <f>IF(tblAnalysis[[#This Row],[amount_kind]]="quantity",tblAnalysis[[#This Row],[norm_count]]*tblAnalysis[[#This Row],[effective_amount]],"")</f>
      </c>
      <c r="O12" s="10" t="inlineStr"/>
      <c r="P12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</c>
      <c r="Q12" t="inlineStr">
        <is>
          <t>SN0002.L1</t>
        </is>
      </c>
      <c r="R12" s="8">
        <f>IF(tblAnalysis[[#This Row],[amount_kind]]="quantity",ROUND(tblAnalysis[[#This Row],[total_quantity]]*tblAnalysis[[#This Row],[price]],TA_RoundCost),"")</f>
      </c>
      <c r="S12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10000</v>
      </c>
      <c r="T12" t="inlineStr">
        <is>
          <t>verified</t>
        </is>
      </c>
    </row>
    <row r="13">
      <c r="A13" t="inlineStr">
        <is>
          <t>AN000009</t>
        </is>
      </c>
      <c r="B13" t="inlineStr">
        <is>
          <t>IT0003</t>
        </is>
      </c>
      <c r="C13" t="str">
        <f>INDEX(tblItems[code],MATCH(tblAnalysis[[#This Row],[item_id]],tblItems[item_id],0))</f>
        <v>DEMO.020</v>
      </c>
      <c r="D13" t="inlineStr">
        <is>
          <t>SN0003.L1</t>
        </is>
      </c>
      <c r="E13" t="inlineStr">
        <is>
          <t>DEMO.VL1</t>
        </is>
      </c>
      <c r="F13" t="inlineStr">
        <is>
          <t>Vật liệu thử</t>
        </is>
      </c>
      <c r="G13" t="inlineStr">
        <is>
          <t>VL</t>
        </is>
      </c>
      <c r="H13" t="inlineStr">
        <is>
          <t>quantity</t>
        </is>
      </c>
      <c r="I13" t="inlineStr">
        <is>
          <t>kg</t>
        </is>
      </c>
      <c r="J13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300</v>
      </c>
      <c r="K13" s="11" t="n">
        <v>1</v>
      </c>
      <c r="L13" s="12">
        <f>IF(ISNUMBER(tblAnalysis[[#This Row],[adjustment_factor]]),tblAnalysis[[#This Row],[original_amount]]*tblAnalysis[[#This Row],[adjustment_factor]],NA())</f>
        <v>300</v>
      </c>
      <c r="M13" s="12">
        <f>INDEX(tblItems[norm_count],MATCH(tblAnalysis[[#This Row],[item_id]],tblItems[item_id],0))</f>
        <v>12</v>
      </c>
      <c r="N13" s="12">
        <f>IF(tblAnalysis[[#This Row],[amount_kind]]="quantity",tblAnalysis[[#This Row],[norm_count]]*tblAnalysis[[#This Row],[effective_amount]],"")</f>
        <v>3600</v>
      </c>
      <c r="O13" s="10" t="inlineStr">
        <is>
          <t>P.DEMO.VL1</t>
        </is>
      </c>
      <c r="P13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20000</v>
      </c>
      <c r="Q13" t="inlineStr"/>
      <c r="R13" s="8">
        <f>IF(tblAnalysis[[#This Row],[amount_kind]]="quantity",ROUND(tblAnalysis[[#This Row],[total_quantity]]*tblAnalysis[[#This Row],[price]],TA_RoundCost),"")</f>
        <v>72000000</v>
      </c>
      <c r="S13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72000000</v>
      </c>
      <c r="T13" t="inlineStr">
        <is>
          <t>verified</t>
        </is>
      </c>
    </row>
    <row r="14">
      <c r="A14" t="inlineStr">
        <is>
          <t>AN000010</t>
        </is>
      </c>
      <c r="B14" t="inlineStr">
        <is>
          <t>IT0003</t>
        </is>
      </c>
      <c r="C14" t="str">
        <f>INDEX(tblItems[code],MATCH(tblAnalysis[[#This Row],[item_id]],tblItems[item_id],0))</f>
        <v>DEMO.020</v>
      </c>
      <c r="D14" t="inlineStr">
        <is>
          <t>SN0003.L2</t>
        </is>
      </c>
      <c r="E14" t="inlineStr">
        <is>
          <t>DEMO.VL3</t>
        </is>
      </c>
      <c r="F14" t="inlineStr">
        <is>
          <t>Vật liệu thử 3</t>
        </is>
      </c>
      <c r="G14" t="inlineStr">
        <is>
          <t>VL</t>
        </is>
      </c>
      <c r="H14" t="inlineStr">
        <is>
          <t>quantity</t>
        </is>
      </c>
      <c r="I14" t="inlineStr">
        <is>
          <t>kg</t>
        </is>
      </c>
      <c r="J14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50</v>
      </c>
      <c r="K14" s="11" t="n">
        <v>1</v>
      </c>
      <c r="L14" s="12">
        <f>IF(ISNUMBER(tblAnalysis[[#This Row],[adjustment_factor]]),tblAnalysis[[#This Row],[original_amount]]*tblAnalysis[[#This Row],[adjustment_factor]],NA())</f>
        <v>50</v>
      </c>
      <c r="M14" s="12">
        <f>INDEX(tblItems[norm_count],MATCH(tblAnalysis[[#This Row],[item_id]],tblItems[item_id],0))</f>
        <v>12</v>
      </c>
      <c r="N14" s="12">
        <f>IF(tblAnalysis[[#This Row],[amount_kind]]="quantity",tblAnalysis[[#This Row],[norm_count]]*tblAnalysis[[#This Row],[effective_amount]],"")</f>
        <v>600</v>
      </c>
      <c r="O14" s="10" t="inlineStr">
        <is>
          <t>P.DEMO.VL3</t>
        </is>
      </c>
      <c r="P14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15000</v>
      </c>
      <c r="Q14" t="inlineStr"/>
      <c r="R14" s="8">
        <f>IF(tblAnalysis[[#This Row],[amount_kind]]="quantity",ROUND(tblAnalysis[[#This Row],[total_quantity]]*tblAnalysis[[#This Row],[price]],TA_RoundCost),"")</f>
        <v>9000000</v>
      </c>
      <c r="S14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9000000</v>
      </c>
      <c r="T14" t="inlineStr">
        <is>
          <t>verified</t>
        </is>
      </c>
    </row>
    <row r="15">
      <c r="A15" t="inlineStr">
        <is>
          <t>AN000011</t>
        </is>
      </c>
      <c r="B15" t="inlineStr">
        <is>
          <t>IT0003</t>
        </is>
      </c>
      <c r="C15" t="str">
        <f>INDEX(tblItems[code],MATCH(tblAnalysis[[#This Row],[item_id]],tblItems[item_id],0))</f>
        <v>DEMO.020</v>
      </c>
      <c r="D15" t="inlineStr">
        <is>
          <t>SN0003.L3</t>
        </is>
      </c>
      <c r="E15" t="inlineStr">
        <is>
          <t>DEMO.NC1</t>
        </is>
      </c>
      <c r="F15" t="inlineStr">
        <is>
          <t>Nhân công thử</t>
        </is>
      </c>
      <c r="G15" t="inlineStr">
        <is>
          <t>NC</t>
        </is>
      </c>
      <c r="H15" t="inlineStr">
        <is>
          <t>quantity</t>
        </is>
      </c>
      <c r="I15" t="inlineStr">
        <is>
          <t>cong</t>
        </is>
      </c>
      <c r="J15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1.5</v>
      </c>
      <c r="K15" s="11" t="n">
        <v>1</v>
      </c>
      <c r="L15" s="12">
        <f>IF(ISNUMBER(tblAnalysis[[#This Row],[adjustment_factor]]),tblAnalysis[[#This Row],[original_amount]]*tblAnalysis[[#This Row],[adjustment_factor]],NA())</f>
        <v>1.5</v>
      </c>
      <c r="M15" s="12">
        <f>INDEX(tblItems[norm_count],MATCH(tblAnalysis[[#This Row],[item_id]],tblItems[item_id],0))</f>
        <v>12</v>
      </c>
      <c r="N15" s="12">
        <f>IF(tblAnalysis[[#This Row],[amount_kind]]="quantity",tblAnalysis[[#This Row],[norm_count]]*tblAnalysis[[#This Row],[effective_amount]],"")</f>
        <v>18</v>
      </c>
      <c r="O15" s="10" t="inlineStr">
        <is>
          <t>P.DEMO.NC1</t>
        </is>
      </c>
      <c r="P15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400000</v>
      </c>
      <c r="Q15" t="inlineStr"/>
      <c r="R15" s="8">
        <f>IF(tblAnalysis[[#This Row],[amount_kind]]="quantity",ROUND(tblAnalysis[[#This Row],[total_quantity]]*tblAnalysis[[#This Row],[price]],TA_RoundCost),"")</f>
        <v>7200000</v>
      </c>
      <c r="S15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7200000</v>
      </c>
      <c r="T15" t="inlineStr">
        <is>
          <t>verified</t>
        </is>
      </c>
    </row>
    <row r="16">
      <c r="A16" t="inlineStr">
        <is>
          <t>AN000012</t>
        </is>
      </c>
      <c r="B16" t="inlineStr">
        <is>
          <t>IT0003</t>
        </is>
      </c>
      <c r="C16" t="str">
        <f>INDEX(tblItems[code],MATCH(tblAnalysis[[#This Row],[item_id]],tblItems[item_id],0))</f>
        <v>DEMO.020</v>
      </c>
      <c r="D16" t="inlineStr">
        <is>
          <t>SN0003.L4</t>
        </is>
      </c>
      <c r="E16" t="inlineStr">
        <is>
          <t>DEMO.M1</t>
        </is>
      </c>
      <c r="F16" t="inlineStr">
        <is>
          <t>Máy thử</t>
        </is>
      </c>
      <c r="G16" t="inlineStr">
        <is>
          <t>M</t>
        </is>
      </c>
      <c r="H16" t="inlineStr">
        <is>
          <t>quantity</t>
        </is>
      </c>
      <c r="I16" t="inlineStr">
        <is>
          <t>ca</t>
        </is>
      </c>
      <c r="J16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0.1</v>
      </c>
      <c r="K16" s="11" t="n">
        <v>1</v>
      </c>
      <c r="L16" s="12">
        <f>IF(ISNUMBER(tblAnalysis[[#This Row],[adjustment_factor]]),tblAnalysis[[#This Row],[original_amount]]*tblAnalysis[[#This Row],[adjustment_factor]],NA())</f>
        <v>0.1</v>
      </c>
      <c r="M16" s="12">
        <f>INDEX(tblItems[norm_count],MATCH(tblAnalysis[[#This Row],[item_id]],tblItems[item_id],0))</f>
        <v>12</v>
      </c>
      <c r="N16" s="12">
        <f>IF(tblAnalysis[[#This Row],[amount_kind]]="quantity",tblAnalysis[[#This Row],[norm_count]]*tblAnalysis[[#This Row],[effective_amount]],"")</f>
        <v>1.2</v>
      </c>
      <c r="O16" s="10" t="inlineStr">
        <is>
          <t>P.DEMO.M1</t>
        </is>
      </c>
      <c r="P16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1000000</v>
      </c>
      <c r="Q16" t="inlineStr"/>
      <c r="R16" s="8">
        <f>IF(tblAnalysis[[#This Row],[amount_kind]]="quantity",ROUND(tblAnalysis[[#This Row],[total_quantity]]*tblAnalysis[[#This Row],[price]],TA_RoundCost),"")</f>
        <v>1200000</v>
      </c>
      <c r="S16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1200000</v>
      </c>
      <c r="T16" t="inlineStr">
        <is>
          <t>verified</t>
        </is>
      </c>
    </row>
    <row r="17">
      <c r="A17" t="inlineStr">
        <is>
          <t>AN000013</t>
        </is>
      </c>
      <c r="B17" t="inlineStr">
        <is>
          <t>IT0003</t>
        </is>
      </c>
      <c r="C17" t="str">
        <f>INDEX(tblItems[code],MATCH(tblAnalysis[[#This Row],[item_id]],tblItems[item_id],0))</f>
        <v>DEMO.020</v>
      </c>
      <c r="D17" t="inlineStr">
        <is>
          <t>SN0003.L5</t>
        </is>
      </c>
      <c r="E17" t="inlineStr"/>
      <c r="F17" t="inlineStr">
        <is>
          <t>Khoản % (1.5% trên VL)</t>
        </is>
      </c>
      <c r="G17" t="inlineStr">
        <is>
          <t>VL</t>
        </is>
      </c>
      <c r="H17" t="inlineStr">
        <is>
          <t>percent</t>
        </is>
      </c>
      <c r="I17" t="inlineStr">
        <is>
          <t>%</t>
        </is>
      </c>
      <c r="J17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1.5</v>
      </c>
      <c r="K17" s="11" t="n">
        <v>1</v>
      </c>
      <c r="L17" s="12">
        <f>IF(ISNUMBER(tblAnalysis[[#This Row],[adjustment_factor]]),tblAnalysis[[#This Row],[original_amount]]*tblAnalysis[[#This Row],[adjustment_factor]],NA())</f>
        <v>1.5</v>
      </c>
      <c r="M17" s="12">
        <f>INDEX(tblItems[norm_count],MATCH(tblAnalysis[[#This Row],[item_id]],tblItems[item_id],0))</f>
        <v>12</v>
      </c>
      <c r="N17" s="12">
        <f>IF(tblAnalysis[[#This Row],[amount_kind]]="quantity",tblAnalysis[[#This Row],[norm_count]]*tblAnalysis[[#This Row],[effective_amount]],"")</f>
      </c>
      <c r="O17" s="10" t="inlineStr"/>
      <c r="P17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</c>
      <c r="Q17" t="inlineStr">
        <is>
          <t>VL</t>
        </is>
      </c>
      <c r="R17" s="8">
        <f>IF(tblAnalysis[[#This Row],[amount_kind]]="quantity",ROUND(tblAnalysis[[#This Row],[total_quantity]]*tblAnalysis[[#This Row],[price]],TA_RoundCost),"")</f>
      </c>
      <c r="S17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1215000</v>
      </c>
      <c r="T17" t="inlineStr">
        <is>
          <t>verified</t>
        </is>
      </c>
    </row>
    <row r="18">
      <c r="A18" t="inlineStr">
        <is>
          <t>AN000014</t>
        </is>
      </c>
      <c r="B18" t="inlineStr">
        <is>
          <t>IT0004</t>
        </is>
      </c>
      <c r="C18" t="str">
        <f>INDEX(tblItems[code],MATCH(tblAnalysis[[#This Row],[item_id]],tblItems[item_id],0))</f>
        <v>DEMO.030</v>
      </c>
      <c r="D18" t="inlineStr">
        <is>
          <t>SN0004.L1</t>
        </is>
      </c>
      <c r="E18" t="inlineStr">
        <is>
          <t>DEMO.VL3</t>
        </is>
      </c>
      <c r="F18" t="inlineStr">
        <is>
          <t>Vật liệu thử 3</t>
        </is>
      </c>
      <c r="G18" t="inlineStr">
        <is>
          <t>VL</t>
        </is>
      </c>
      <c r="H18" t="inlineStr">
        <is>
          <t>quantity</t>
        </is>
      </c>
      <c r="I18" t="inlineStr">
        <is>
          <t>kg</t>
        </is>
      </c>
      <c r="J18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1.02</v>
      </c>
      <c r="K18" s="11" t="n">
        <v>1</v>
      </c>
      <c r="L18" s="12">
        <f>IF(ISNUMBER(tblAnalysis[[#This Row],[adjustment_factor]]),tblAnalysis[[#This Row],[original_amount]]*tblAnalysis[[#This Row],[adjustment_factor]],NA())</f>
        <v>1.02</v>
      </c>
      <c r="M18" s="12">
        <f>INDEX(tblItems[norm_count],MATCH(tblAnalysis[[#This Row],[item_id]],tblItems[item_id],0))</f>
        <v>1200</v>
      </c>
      <c r="N18" s="12">
        <f>IF(tblAnalysis[[#This Row],[amount_kind]]="quantity",tblAnalysis[[#This Row],[norm_count]]*tblAnalysis[[#This Row],[effective_amount]],"")</f>
        <v>1224</v>
      </c>
      <c r="O18" s="10" t="inlineStr">
        <is>
          <t>P.DEMO.VL3</t>
        </is>
      </c>
      <c r="P18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15000</v>
      </c>
      <c r="Q18" t="inlineStr"/>
      <c r="R18" s="8">
        <f>IF(tblAnalysis[[#This Row],[amount_kind]]="quantity",ROUND(tblAnalysis[[#This Row],[total_quantity]]*tblAnalysis[[#This Row],[price]],TA_RoundCost),"")</f>
        <v>18360000</v>
      </c>
      <c r="S18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18360000</v>
      </c>
      <c r="T18" t="inlineStr">
        <is>
          <t>verified</t>
        </is>
      </c>
    </row>
    <row r="19">
      <c r="A19" t="inlineStr">
        <is>
          <t>AN000015</t>
        </is>
      </c>
      <c r="B19" t="inlineStr">
        <is>
          <t>IT0004</t>
        </is>
      </c>
      <c r="C19" t="str">
        <f>INDEX(tblItems[code],MATCH(tblAnalysis[[#This Row],[item_id]],tblItems[item_id],0))</f>
        <v>DEMO.030</v>
      </c>
      <c r="D19" t="inlineStr">
        <is>
          <t>SN0004.L2</t>
        </is>
      </c>
      <c r="E19" t="inlineStr">
        <is>
          <t>DEMO.NC1</t>
        </is>
      </c>
      <c r="F19" t="inlineStr">
        <is>
          <t>Nhân công thử</t>
        </is>
      </c>
      <c r="G19" t="inlineStr">
        <is>
          <t>NC</t>
        </is>
      </c>
      <c r="H19" t="inlineStr">
        <is>
          <t>quantity</t>
        </is>
      </c>
      <c r="I19" t="inlineStr">
        <is>
          <t>cong</t>
        </is>
      </c>
      <c r="J19" s="12">
        <f>IF(ISNUMBER(INDEX(tblSnapshotLines[amount],MATCH(tblAnalysis[[#This Row],[snapshot_line_id]],tblSnapshotLines[snapshot_line_id],0))),INDEX(tblSnapshotLines[amount],MATCH(tblAnalysis[[#This Row],[snapshot_line_id]],tblSnapshotLines[snapshot_line_id],0)),NA())</f>
        <v>0.01</v>
      </c>
      <c r="K19" s="11" t="n">
        <v>1</v>
      </c>
      <c r="L19" s="12">
        <f>IF(ISNUMBER(tblAnalysis[[#This Row],[adjustment_factor]]),tblAnalysis[[#This Row],[original_amount]]*tblAnalysis[[#This Row],[adjustment_factor]],NA())</f>
        <v>0.01</v>
      </c>
      <c r="M19" s="12">
        <f>INDEX(tblItems[norm_count],MATCH(tblAnalysis[[#This Row],[item_id]],tblItems[item_id],0))</f>
        <v>1200</v>
      </c>
      <c r="N19" s="12">
        <f>IF(tblAnalysis[[#This Row],[amount_kind]]="quantity",tblAnalysis[[#This Row],[norm_count]]*tblAnalysis[[#This Row],[effective_amount]],"")</f>
        <v>12</v>
      </c>
      <c r="O19" s="10" t="inlineStr">
        <is>
          <t>P.DEMO.NC1</t>
        </is>
      </c>
      <c r="P19" s="8">
        <f>IF(tblAnalysis[[#This Row],[amount_kind]]="quantity",IF(ISNUMBER(INDEX(tblPrices[effective_price],MATCH(tblAnalysis[[#This Row],[price_id]],tblPrices[price_id],0))),INDEX(tblPrices[effective_price],MATCH(tblAnalysis[[#This Row],[price_id]],tblPrices[price_id],0)),NA()),"")</f>
        <v>400000</v>
      </c>
      <c r="Q19" t="inlineStr"/>
      <c r="R19" s="8">
        <f>IF(tblAnalysis[[#This Row],[amount_kind]]="quantity",ROUND(tblAnalysis[[#This Row],[total_quantity]]*tblAnalysis[[#This Row],[price]],TA_RoundCost),"")</f>
        <v>4800000</v>
      </c>
      <c r="S19" s="8">
        <f>IF(tblAnalysis[[#This Row],[amount_kind]]="quantity",tblAnalysis[[#This Row],[qty_cost]],IF(tblAnalysis[[#This Row],[amount_kind]]="percent",IF(COUNTIFS(tblAnalysis[item_id],tblAnalysis[[#This Row],[item_id]],tblAnalysis[snapshot_line_id],tblAnalysis[[#This Row],[basis_ref]],tblAnalysis[amount_kind],"quantity")+COUNTIFS(tblAnalysis[item_id],tblAnalysis[[#This Row],[item_id]],tblAnalysis[group],tblAnalysis[[#This Row],[basis_ref]],tblAnalysis[amount_kind],"quantity")=0,NA(),ROUND(tblAnalysis[[#This Row],[effective_amount]]/100*(SUMIFS(tblAnalysis[qty_cost],tblAnalysis[item_id],tblAnalysis[[#This Row],[item_id]],tblAnalysis[snapshot_line_id],tblAnalysis[[#This Row],[basis_ref]])+SUMIFS(tblAnalysis[qty_cost],tblAnalysis[item_id],tblAnalysis[[#This Row],[item_id]],tblAnalysis[group],tblAnalysis[[#This Row],[basis_ref]])),TA_RoundCost)),NA()))</f>
        <v>4800000</v>
      </c>
      <c r="T19" t="inlineStr">
        <is>
          <t>verified</t>
        </is>
      </c>
    </row>
  </sheetData>
  <pageMargins left="0.75" right="0.75" top="1" bottom="1" header="0.5" footer="0.5"/>
  <pageSetup orientation="landscape" paperSize="8" fitToHeight="0" fitToWidth="1"/>
  <headerFooter>
    <oddHeader/>
    <oddFooter>&amp;LTA Estimate – &amp;A&amp;CTrang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6" customWidth="1" min="3" max="3"/>
    <col width="32" customWidth="1" min="4" max="4"/>
    <col width="8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TỔNG HỢP VẬT LIỆU – NHÂN CÔNG – MÁY</t>
        </is>
      </c>
    </row>
    <row r="2">
      <c r="A2" s="9" t="inlineStr">
        <is>
          <t>Ô nền vàng chữ xanh là ô nhập. Ô khác do add-in ghi hoặc là công thức Excel chuẩn – không sửa tay.</t>
        </is>
      </c>
    </row>
    <row r="3" ht="30" customHeight="1">
      <c r="A3" s="5" t="inlineStr">
        <is>
          <t>Khóa tài nguyên–giá</t>
        </is>
      </c>
      <c r="B3" s="5" t="inlineStr">
        <is>
          <t>Mã tài nguyên</t>
        </is>
      </c>
      <c r="C3" s="5" t="inlineStr">
        <is>
          <t>Nhóm</t>
        </is>
      </c>
      <c r="D3" s="5" t="inlineStr">
        <is>
          <t>Tên / quy cách</t>
        </is>
      </c>
      <c r="E3" s="5" t="inlineStr">
        <is>
          <t>Đơn vị</t>
        </is>
      </c>
      <c r="F3" s="5" t="inlineStr">
        <is>
          <t>Mã giá</t>
        </is>
      </c>
      <c r="G3" s="5" t="inlineStr">
        <is>
          <t>Tổng lượng</t>
        </is>
      </c>
      <c r="H3" s="5" t="inlineStr">
        <is>
          <t>Giá áp dụng</t>
        </is>
      </c>
      <c r="I3" s="5" t="inlineStr">
        <is>
          <t>Thành tiền</t>
        </is>
      </c>
    </row>
    <row r="4">
      <c r="A4" s="6" t="inlineStr">
        <is>
          <t>resource_price_key</t>
        </is>
      </c>
      <c r="B4" s="6" t="inlineStr">
        <is>
          <t>resource_id</t>
        </is>
      </c>
      <c r="C4" s="6" t="inlineStr">
        <is>
          <t>group</t>
        </is>
      </c>
      <c r="D4" s="6" t="inlineStr">
        <is>
          <t>spec</t>
        </is>
      </c>
      <c r="E4" s="6" t="inlineStr">
        <is>
          <t>unit</t>
        </is>
      </c>
      <c r="F4" s="6" t="inlineStr">
        <is>
          <t>price_id</t>
        </is>
      </c>
      <c r="G4" s="6" t="inlineStr">
        <is>
          <t>quantity</t>
        </is>
      </c>
      <c r="H4" s="6" t="inlineStr">
        <is>
          <t>price</t>
        </is>
      </c>
      <c r="I4" s="6" t="inlineStr">
        <is>
          <t>cost</t>
        </is>
      </c>
    </row>
    <row r="5">
      <c r="A5" t="inlineStr">
        <is>
          <t>DEMO.VL1|P.DEMO.VL1</t>
        </is>
      </c>
      <c r="B5" t="inlineStr">
        <is>
          <t>DEMO.VL1</t>
        </is>
      </c>
      <c r="C5" t="inlineStr">
        <is>
          <t>VL</t>
        </is>
      </c>
      <c r="D5" t="inlineStr">
        <is>
          <t>Vật liệu thử</t>
        </is>
      </c>
      <c r="E5" t="inlineStr">
        <is>
          <t>kg</t>
        </is>
      </c>
      <c r="F5" t="inlineStr">
        <is>
          <t>P.DEMO.VL1</t>
        </is>
      </c>
      <c r="G5" s="12">
        <f>SUMIFS(tblAnalysis[total_quantity],tblAnalysis[resource_id],tblResourceSummary[[#This Row],[resource_id]],tblAnalysis[price_id],tblResourceSummary[[#This Row],[price_id]])</f>
        <v>3650</v>
      </c>
      <c r="H5" s="8">
        <f>IF(ISNUMBER(INDEX(tblPrices[effective_price],MATCH(tblResourceSummary[[#This Row],[price_id]],tblPrices[price_id],0))),INDEX(tblPrices[effective_price],MATCH(tblResourceSummary[[#This Row],[price_id]],tblPrices[price_id],0)),NA())</f>
        <v>20000</v>
      </c>
      <c r="I5" s="8">
        <f>SUMIFS(tblAnalysis[qty_cost],tblAnalysis[resource_id],tblResourceSummary[[#This Row],[resource_id]],tblAnalysis[price_id],tblResourceSummary[[#This Row],[price_id]])</f>
        <v>73000000</v>
      </c>
    </row>
    <row r="6">
      <c r="A6" t="inlineStr">
        <is>
          <t>DEMO.NC1|P.DEMO.NC1</t>
        </is>
      </c>
      <c r="B6" t="inlineStr">
        <is>
          <t>DEMO.NC1</t>
        </is>
      </c>
      <c r="C6" t="inlineStr">
        <is>
          <t>NC</t>
        </is>
      </c>
      <c r="D6" t="inlineStr">
        <is>
          <t>Nhân công thử</t>
        </is>
      </c>
      <c r="E6" t="inlineStr">
        <is>
          <t>cong</t>
        </is>
      </c>
      <c r="F6" t="inlineStr">
        <is>
          <t>P.DEMO.NC1</t>
        </is>
      </c>
      <c r="G6" s="12">
        <f>SUMIFS(tblAnalysis[total_quantity],tblAnalysis[resource_id],tblResourceSummary[[#This Row],[resource_id]],tblAnalysis[price_id],tblResourceSummary[[#This Row],[price_id]])</f>
        <v>40.5</v>
      </c>
      <c r="H6" s="8">
        <f>IF(ISNUMBER(INDEX(tblPrices[effective_price],MATCH(tblResourceSummary[[#This Row],[price_id]],tblPrices[price_id],0))),INDEX(tblPrices[effective_price],MATCH(tblResourceSummary[[#This Row],[price_id]],tblPrices[price_id],0)),NA())</f>
        <v>400000</v>
      </c>
      <c r="I6" s="8">
        <f>SUMIFS(tblAnalysis[qty_cost],tblAnalysis[resource_id],tblResourceSummary[[#This Row],[resource_id]],tblAnalysis[price_id],tblResourceSummary[[#This Row],[price_id]])</f>
        <v>16200000</v>
      </c>
    </row>
    <row r="7">
      <c r="A7" t="inlineStr">
        <is>
          <t>DEMO.M1|P.DEMO.M1</t>
        </is>
      </c>
      <c r="B7" t="inlineStr">
        <is>
          <t>DEMO.M1</t>
        </is>
      </c>
      <c r="C7" t="inlineStr">
        <is>
          <t>M</t>
        </is>
      </c>
      <c r="D7" t="inlineStr">
        <is>
          <t>Máy thử</t>
        </is>
      </c>
      <c r="E7" t="inlineStr">
        <is>
          <t>ca</t>
        </is>
      </c>
      <c r="F7" t="inlineStr">
        <is>
          <t>P.DEMO.M1</t>
        </is>
      </c>
      <c r="G7" s="12">
        <f>SUMIFS(tblAnalysis[total_quantity],tblAnalysis[resource_id],tblResourceSummary[[#This Row],[resource_id]],tblAnalysis[price_id],tblResourceSummary[[#This Row],[price_id]])</f>
        <v>6.2</v>
      </c>
      <c r="H7" s="8">
        <f>IF(ISNUMBER(INDEX(tblPrices[effective_price],MATCH(tblResourceSummary[[#This Row],[price_id]],tblPrices[price_id],0))),INDEX(tblPrices[effective_price],MATCH(tblResourceSummary[[#This Row],[price_id]],tblPrices[price_id],0)),NA())</f>
        <v>1000000</v>
      </c>
      <c r="I7" s="8">
        <f>SUMIFS(tblAnalysis[qty_cost],tblAnalysis[resource_id],tblResourceSummary[[#This Row],[resource_id]],tblAnalysis[price_id],tblResourceSummary[[#This Row],[price_id]])</f>
        <v>6200000</v>
      </c>
    </row>
    <row r="8">
      <c r="A8" t="inlineStr">
        <is>
          <t>DEMO.VL3|P.DEMO.VL3</t>
        </is>
      </c>
      <c r="B8" t="inlineStr">
        <is>
          <t>DEMO.VL3</t>
        </is>
      </c>
      <c r="C8" t="inlineStr">
        <is>
          <t>VL</t>
        </is>
      </c>
      <c r="D8" t="inlineStr">
        <is>
          <t>Vật liệu thử 3</t>
        </is>
      </c>
      <c r="E8" t="inlineStr">
        <is>
          <t>kg</t>
        </is>
      </c>
      <c r="F8" t="inlineStr">
        <is>
          <t>P.DEMO.VL3</t>
        </is>
      </c>
      <c r="G8" s="12">
        <f>SUMIFS(tblAnalysis[total_quantity],tblAnalysis[resource_id],tblResourceSummary[[#This Row],[resource_id]],tblAnalysis[price_id],tblResourceSummary[[#This Row],[price_id]])</f>
        <v>1824</v>
      </c>
      <c r="H8" s="8">
        <f>IF(ISNUMBER(INDEX(tblPrices[effective_price],MATCH(tblResourceSummary[[#This Row],[price_id]],tblPrices[price_id],0))),INDEX(tblPrices[effective_price],MATCH(tblResourceSummary[[#This Row],[price_id]],tblPrices[price_id],0)),NA())</f>
        <v>15000</v>
      </c>
      <c r="I8" s="8">
        <f>SUMIFS(tblAnalysis[qty_cost],tblAnalysis[resource_id],tblResourceSummary[[#This Row],[resource_id]],tblAnalysis[price_id],tblResourceSummary[[#This Row],[price_id]])</f>
        <v>27360000</v>
      </c>
    </row>
  </sheetData>
  <pageMargins left="0.75" right="0.75" top="1" bottom="1" header="0.5" footer="0.5"/>
  <pageSetup orientation="landscape" paperSize="9" fitToHeight="0" fitToWidth="1"/>
  <headerFooter>
    <oddHeader/>
    <oddFooter>&amp;LTA Estimate – &amp;A&amp;CTrang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30" customWidth="1" min="4" max="4"/>
    <col width="7" customWidth="1" min="5" max="5"/>
    <col width="12" customWidth="1" min="6" max="6"/>
    <col width="10" customWidth="1" min="7" max="7"/>
    <col width="24" customWidth="1" min="8" max="8"/>
    <col width="13" customWidth="1" min="9" max="9"/>
    <col width="11" customWidth="1" min="10" max="10"/>
    <col width="11" customWidth="1" min="11" max="11"/>
    <col width="12" customWidth="1" min="12" max="12"/>
    <col width="11" customWidth="1" min="13" max="13"/>
    <col width="13" customWidth="1" min="14" max="14"/>
    <col width="16" customWidth="1" min="15" max="15"/>
    <col width="14" customWidth="1" min="16" max="16"/>
    <col width="10" customWidth="1" min="17" max="17"/>
  </cols>
  <sheetData>
    <row r="1">
      <c r="A1" s="1" t="inlineStr">
        <is>
          <t>GIÁ ĐẦU VÀO (GIÁ HIỆN TRƯỜNG, NHÂN CÔNG, CA MÁY)</t>
        </is>
      </c>
    </row>
    <row r="2">
      <c r="A2" s="9" t="inlineStr">
        <is>
          <t>Ô nền vàng chữ xanh là ô nhập. Ô khác do add-in ghi hoặc là công thức Excel chuẩn – không sửa tay.</t>
        </is>
      </c>
    </row>
    <row r="3" ht="30" customHeight="1">
      <c r="A3" s="5" t="inlineStr">
        <is>
          <t>Mã giá</t>
        </is>
      </c>
      <c r="B3" s="5" t="inlineStr">
        <is>
          <t>Mã tài nguyên</t>
        </is>
      </c>
      <c r="C3" s="5" t="inlineStr">
        <is>
          <t>Nhóm</t>
        </is>
      </c>
      <c r="D3" s="5" t="inlineStr">
        <is>
          <t>Tên / quy cách</t>
        </is>
      </c>
      <c r="E3" s="5" t="inlineStr">
        <is>
          <t>Đơn vị</t>
        </is>
      </c>
      <c r="F3" s="5" t="inlineStr">
        <is>
          <t>Địa bàn</t>
        </is>
      </c>
      <c r="G3" s="5" t="inlineStr">
        <is>
          <t>Kỳ giá</t>
        </is>
      </c>
      <c r="H3" s="5" t="inlineStr">
        <is>
          <t>Nguồn giá</t>
        </is>
      </c>
      <c r="I3" s="5" t="inlineStr">
        <is>
          <t>Giá gốc</t>
        </is>
      </c>
      <c r="J3" s="5" t="inlineStr">
        <is>
          <t>Thuế (pre_vat/incl_vat)</t>
        </is>
      </c>
      <c r="K3" s="5" t="inlineStr">
        <is>
          <t>Đã gồm VC? (yes/no/n/a)</t>
        </is>
      </c>
      <c r="L3" s="5" t="inlineStr">
        <is>
          <t>Cước vận chuyển</t>
        </is>
      </c>
      <c r="M3" s="5" t="inlineStr">
        <is>
          <t>Bốc xếp</t>
        </is>
      </c>
      <c r="N3" s="5" t="inlineStr">
        <is>
          <t>Giá áp dụng</t>
        </is>
      </c>
      <c r="O3" s="5" t="inlineStr">
        <is>
          <t>Lý do giá 0</t>
        </is>
      </c>
      <c r="P3" s="5" t="inlineStr">
        <is>
          <t>Người xác nhận</t>
        </is>
      </c>
      <c r="Q3" s="5" t="inlineStr">
        <is>
          <t>Trạng thái</t>
        </is>
      </c>
    </row>
    <row r="4">
      <c r="A4" s="6" t="inlineStr">
        <is>
          <t>price_id</t>
        </is>
      </c>
      <c r="B4" s="6" t="inlineStr">
        <is>
          <t>resource_id</t>
        </is>
      </c>
      <c r="C4" s="6" t="inlineStr">
        <is>
          <t>group</t>
        </is>
      </c>
      <c r="D4" s="6" t="inlineStr">
        <is>
          <t>spec</t>
        </is>
      </c>
      <c r="E4" s="6" t="inlineStr">
        <is>
          <t>unit</t>
        </is>
      </c>
      <c r="F4" s="6" t="inlineStr">
        <is>
          <t>locality</t>
        </is>
      </c>
      <c r="G4" s="6" t="inlineStr">
        <is>
          <t>price_date</t>
        </is>
      </c>
      <c r="H4" s="6" t="inlineStr">
        <is>
          <t>source_ref</t>
        </is>
      </c>
      <c r="I4" s="6" t="inlineStr">
        <is>
          <t>quoted_price</t>
        </is>
      </c>
      <c r="J4" s="6" t="inlineStr">
        <is>
          <t>tax_basis</t>
        </is>
      </c>
      <c r="K4" s="6" t="inlineStr">
        <is>
          <t>includes_transport</t>
        </is>
      </c>
      <c r="L4" s="6" t="inlineStr">
        <is>
          <t>transport</t>
        </is>
      </c>
      <c r="M4" s="6" t="inlineStr">
        <is>
          <t>handling</t>
        </is>
      </c>
      <c r="N4" s="6" t="inlineStr">
        <is>
          <t>effective_price</t>
        </is>
      </c>
      <c r="O4" s="6" t="inlineStr">
        <is>
          <t>zero_reason</t>
        </is>
      </c>
      <c r="P4" s="6" t="inlineStr">
        <is>
          <t>reviewer</t>
        </is>
      </c>
      <c r="Q4" s="6" t="inlineStr">
        <is>
          <t>status</t>
        </is>
      </c>
    </row>
    <row r="5">
      <c r="A5" t="inlineStr">
        <is>
          <t>P.DEMO.VL1</t>
        </is>
      </c>
      <c r="B5" t="inlineStr">
        <is>
          <t>DEMO.VL1</t>
        </is>
      </c>
      <c r="C5" t="inlineStr">
        <is>
          <t>VL</t>
        </is>
      </c>
      <c r="D5" t="inlineStr">
        <is>
          <t>Vật liệu thử</t>
        </is>
      </c>
      <c r="E5" t="inlineStr">
        <is>
          <t>kg</t>
        </is>
      </c>
      <c r="F5" s="10" t="inlineStr">
        <is>
          <t>DEMO</t>
        </is>
      </c>
      <c r="G5" s="10" t="inlineStr">
        <is>
          <t>DEMO</t>
        </is>
      </c>
      <c r="H5" s="10" t="inlineStr">
        <is>
          <t>Giá giả lập DEMO – không phải giá công bố</t>
        </is>
      </c>
      <c r="I5" s="13" t="n">
        <v>20000</v>
      </c>
      <c r="J5" s="10" t="inlineStr">
        <is>
          <t>pre_vat</t>
        </is>
      </c>
      <c r="K5" s="10" t="inlineStr">
        <is>
          <t>yes</t>
        </is>
      </c>
      <c r="L5" s="13" t="n"/>
      <c r="M5" s="13" t="n"/>
      <c r="N5" s="8">
        <f>IF(NOT(ISNUMBER(tblPrices[[#This Row],[quoted_price]])),NA(),IF(AND(tblPrices[[#This Row],[quoted_price]]=0,OR(tblPrices[[#This Row],[zero_reason]]="",tblPrices[[#This Row],[reviewer]]="")),NA(),IF(tblPrices[[#This Row],[includes_transport]]="no",IF(ISNUMBER(tblPrices[[#This Row],[transport]]),ROUND(tblPrices[[#This Row],[quoted_price]]+tblPrices[[#This Row],[transport]]+N(tblPrices[[#This Row],[handling]]),TA_RoundPrice),NA()),IF(OR(tblPrices[[#This Row],[includes_transport]]="yes",tblPrices[[#This Row],[includes_transport]]="n/a"),ROUND(tblPrices[[#This Row],[quoted_price]]+N(tblPrices[[#This Row],[handling]]),TA_RoundPrice),NA()))))</f>
        <v>20000</v>
      </c>
      <c r="O5" s="10" t="n"/>
      <c r="P5" s="10" t="n"/>
      <c r="Q5" t="str">
        <f>IF(ISNUMBER(tblPrices[[#This Row],[effective_price]]),"ok","missing")</f>
        <v>ok</v>
      </c>
    </row>
    <row r="6">
      <c r="A6" t="inlineStr">
        <is>
          <t>P.DEMO.NC1</t>
        </is>
      </c>
      <c r="B6" t="inlineStr">
        <is>
          <t>DEMO.NC1</t>
        </is>
      </c>
      <c r="C6" t="inlineStr">
        <is>
          <t>NC</t>
        </is>
      </c>
      <c r="D6" t="inlineStr">
        <is>
          <t>Nhân công thử</t>
        </is>
      </c>
      <c r="E6" t="inlineStr">
        <is>
          <t>cong</t>
        </is>
      </c>
      <c r="F6" s="10" t="inlineStr">
        <is>
          <t>DEMO</t>
        </is>
      </c>
      <c r="G6" s="10" t="inlineStr">
        <is>
          <t>DEMO</t>
        </is>
      </c>
      <c r="H6" s="10" t="inlineStr">
        <is>
          <t>Giá giả lập DEMO – không phải giá công bố</t>
        </is>
      </c>
      <c r="I6" s="13" t="n">
        <v>400000</v>
      </c>
      <c r="J6" s="10" t="inlineStr">
        <is>
          <t>pre_vat</t>
        </is>
      </c>
      <c r="K6" s="10" t="inlineStr">
        <is>
          <t>n/a</t>
        </is>
      </c>
      <c r="L6" s="13" t="n"/>
      <c r="M6" s="13" t="n"/>
      <c r="N6" s="8">
        <f>IF(NOT(ISNUMBER(tblPrices[[#This Row],[quoted_price]])),NA(),IF(AND(tblPrices[[#This Row],[quoted_price]]=0,OR(tblPrices[[#This Row],[zero_reason]]="",tblPrices[[#This Row],[reviewer]]="")),NA(),IF(tblPrices[[#This Row],[includes_transport]]="no",IF(ISNUMBER(tblPrices[[#This Row],[transport]]),ROUND(tblPrices[[#This Row],[quoted_price]]+tblPrices[[#This Row],[transport]]+N(tblPrices[[#This Row],[handling]]),TA_RoundPrice),NA()),IF(OR(tblPrices[[#This Row],[includes_transport]]="yes",tblPrices[[#This Row],[includes_transport]]="n/a"),ROUND(tblPrices[[#This Row],[quoted_price]]+N(tblPrices[[#This Row],[handling]]),TA_RoundPrice),NA()))))</f>
        <v>400000</v>
      </c>
      <c r="O6" s="10" t="n"/>
      <c r="P6" s="10" t="n"/>
      <c r="Q6" t="str">
        <f>IF(ISNUMBER(tblPrices[[#This Row],[effective_price]]),"ok","missing")</f>
        <v>ok</v>
      </c>
    </row>
    <row r="7">
      <c r="A7" t="inlineStr">
        <is>
          <t>P.DEMO.M1</t>
        </is>
      </c>
      <c r="B7" t="inlineStr">
        <is>
          <t>DEMO.M1</t>
        </is>
      </c>
      <c r="C7" t="inlineStr">
        <is>
          <t>M</t>
        </is>
      </c>
      <c r="D7" t="inlineStr">
        <is>
          <t>Máy thử</t>
        </is>
      </c>
      <c r="E7" t="inlineStr">
        <is>
          <t>ca</t>
        </is>
      </c>
      <c r="F7" s="10" t="inlineStr">
        <is>
          <t>DEMO</t>
        </is>
      </c>
      <c r="G7" s="10" t="inlineStr">
        <is>
          <t>DEMO</t>
        </is>
      </c>
      <c r="H7" s="10" t="inlineStr">
        <is>
          <t>Giá giả lập DEMO – không phải giá công bố</t>
        </is>
      </c>
      <c r="I7" s="13" t="n">
        <v>1000000</v>
      </c>
      <c r="J7" s="10" t="inlineStr">
        <is>
          <t>pre_vat</t>
        </is>
      </c>
      <c r="K7" s="10" t="inlineStr">
        <is>
          <t>n/a</t>
        </is>
      </c>
      <c r="L7" s="13" t="n"/>
      <c r="M7" s="13" t="n"/>
      <c r="N7" s="8">
        <f>IF(NOT(ISNUMBER(tblPrices[[#This Row],[quoted_price]])),NA(),IF(AND(tblPrices[[#This Row],[quoted_price]]=0,OR(tblPrices[[#This Row],[zero_reason]]="",tblPrices[[#This Row],[reviewer]]="")),NA(),IF(tblPrices[[#This Row],[includes_transport]]="no",IF(ISNUMBER(tblPrices[[#This Row],[transport]]),ROUND(tblPrices[[#This Row],[quoted_price]]+tblPrices[[#This Row],[transport]]+N(tblPrices[[#This Row],[handling]]),TA_RoundPrice),NA()),IF(OR(tblPrices[[#This Row],[includes_transport]]="yes",tblPrices[[#This Row],[includes_transport]]="n/a"),ROUND(tblPrices[[#This Row],[quoted_price]]+N(tblPrices[[#This Row],[handling]]),TA_RoundPrice),NA()))))</f>
        <v>1000000</v>
      </c>
      <c r="O7" s="10" t="n"/>
      <c r="P7" s="10" t="n"/>
      <c r="Q7" t="str">
        <f>IF(ISNUMBER(tblPrices[[#This Row],[effective_price]]),"ok","missing")</f>
        <v>ok</v>
      </c>
    </row>
    <row r="8">
      <c r="A8" t="inlineStr">
        <is>
          <t>P.DEMO.VL3</t>
        </is>
      </c>
      <c r="B8" t="inlineStr">
        <is>
          <t>DEMO.VL3</t>
        </is>
      </c>
      <c r="C8" t="inlineStr">
        <is>
          <t>VL</t>
        </is>
      </c>
      <c r="D8" t="inlineStr">
        <is>
          <t>Vật liệu thử 3</t>
        </is>
      </c>
      <c r="E8" t="inlineStr">
        <is>
          <t>kg</t>
        </is>
      </c>
      <c r="F8" s="10" t="inlineStr">
        <is>
          <t>DEMO</t>
        </is>
      </c>
      <c r="G8" s="10" t="inlineStr">
        <is>
          <t>DEMO</t>
        </is>
      </c>
      <c r="H8" s="10" t="inlineStr">
        <is>
          <t>Giá giả lập DEMO – không phải giá công bố</t>
        </is>
      </c>
      <c r="I8" s="13" t="n">
        <v>15000</v>
      </c>
      <c r="J8" s="10" t="inlineStr">
        <is>
          <t>pre_vat</t>
        </is>
      </c>
      <c r="K8" s="10" t="inlineStr">
        <is>
          <t>yes</t>
        </is>
      </c>
      <c r="L8" s="13" t="n"/>
      <c r="M8" s="13" t="n"/>
      <c r="N8" s="8">
        <f>IF(NOT(ISNUMBER(tblPrices[[#This Row],[quoted_price]])),NA(),IF(AND(tblPrices[[#This Row],[quoted_price]]=0,OR(tblPrices[[#This Row],[zero_reason]]="",tblPrices[[#This Row],[reviewer]]="")),NA(),IF(tblPrices[[#This Row],[includes_transport]]="no",IF(ISNUMBER(tblPrices[[#This Row],[transport]]),ROUND(tblPrices[[#This Row],[quoted_price]]+tblPrices[[#This Row],[transport]]+N(tblPrices[[#This Row],[handling]]),TA_RoundPrice),NA()),IF(OR(tblPrices[[#This Row],[includes_transport]]="yes",tblPrices[[#This Row],[includes_transport]]="n/a"),ROUND(tblPrices[[#This Row],[quoted_price]]+N(tblPrices[[#This Row],[handling]]),TA_RoundPrice),NA()))))</f>
        <v>15000</v>
      </c>
      <c r="O8" s="10" t="n"/>
      <c r="P8" s="10" t="n"/>
      <c r="Q8" t="str">
        <f>IF(ISNUMBER(tblPrices[[#This Row],[effective_price]]),"ok","missing")</f>
        <v>ok</v>
      </c>
    </row>
  </sheetData>
  <dataValidations count="2">
    <dataValidation sqref="J5:J3000" showDropDown="0" showInputMessage="0" showErrorMessage="0" allowBlank="1" type="list">
      <formula1>"pre_vat,incl_vat"</formula1>
    </dataValidation>
    <dataValidation sqref="K5:K3000" showDropDown="0" showInputMessage="0" showErrorMessage="0" allowBlank="1" type="list">
      <formula1>"yes,no,n/a"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&amp;LTA Estimate – &amp;A&amp;CTrang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6" customWidth="1" min="3" max="3"/>
    <col width="20" customWidth="1" min="4" max="4"/>
    <col width="14" customWidth="1" min="5" max="5"/>
    <col width="10" customWidth="1" min="6" max="6"/>
    <col width="14" customWidth="1" min="7" max="7"/>
    <col width="13" customWidth="1" min="8" max="8"/>
    <col width="30" customWidth="1" min="9" max="9"/>
    <col width="14" customWidth="1" min="10" max="10"/>
    <col width="14" customWidth="1" min="11" max="11"/>
  </cols>
  <sheetData>
    <row r="1">
      <c r="A1" s="1" t="inlineStr">
        <is>
          <t>QUY TẮC TÍNH CÁC KHOẢN CHI PHÍ</t>
        </is>
      </c>
    </row>
    <row r="2">
      <c r="A2" s="9" t="inlineStr">
        <is>
          <t>Ô nền vàng chữ xanh là ô nhập. Ô khác do add-in ghi hoặc là công thức Excel chuẩn – không sửa tay.</t>
        </is>
      </c>
    </row>
    <row r="3" ht="30" customHeight="1">
      <c r="A3" s="5" t="inlineStr">
        <is>
          <t>Ký hiệu</t>
        </is>
      </c>
      <c r="B3" s="5" t="inlineStr">
        <is>
          <t>Bộ quy tắc</t>
        </is>
      </c>
      <c r="C3" s="5" t="inlineStr">
        <is>
          <t>Tên khoản</t>
        </is>
      </c>
      <c r="D3" s="5" t="inlineStr">
        <is>
          <t>Loại (percentage_on_basis/sum/fixed)</t>
        </is>
      </c>
      <c r="E3" s="5" t="inlineStr">
        <is>
          <t>Cơ sở (VD: T;C)</t>
        </is>
      </c>
      <c r="F3" s="5" t="inlineStr">
        <is>
          <t>Tỷ lệ (%)</t>
        </is>
      </c>
      <c r="G3" s="5" t="inlineStr">
        <is>
          <t>Giá trị cố định</t>
        </is>
      </c>
      <c r="H3" s="5" t="inlineStr">
        <is>
          <t>Làm tròn (round_cost/none)</t>
        </is>
      </c>
      <c r="I3" s="5" t="inlineStr">
        <is>
          <t>Căn cứ</t>
        </is>
      </c>
      <c r="J3" s="5" t="inlineStr">
        <is>
          <t>Người kiểm</t>
        </is>
      </c>
      <c r="K3" s="5" t="inlineStr">
        <is>
          <t>Trạng thái (draft/approved/demo)</t>
        </is>
      </c>
    </row>
    <row r="4">
      <c r="A4" s="6" t="inlineStr">
        <is>
          <t>rule_id</t>
        </is>
      </c>
      <c r="B4" s="6" t="inlineStr">
        <is>
          <t>profile_id</t>
        </is>
      </c>
      <c r="C4" s="6" t="inlineStr">
        <is>
          <t>label</t>
        </is>
      </c>
      <c r="D4" s="6" t="inlineStr">
        <is>
          <t>rule_type</t>
        </is>
      </c>
      <c r="E4" s="6" t="inlineStr">
        <is>
          <t>base_refs</t>
        </is>
      </c>
      <c r="F4" s="6" t="inlineStr">
        <is>
          <t>rate</t>
        </is>
      </c>
      <c r="G4" s="6" t="inlineStr">
        <is>
          <t>fixed_amount</t>
        </is>
      </c>
      <c r="H4" s="6" t="inlineStr">
        <is>
          <t>rounding_stage</t>
        </is>
      </c>
      <c r="I4" s="6" t="inlineStr">
        <is>
          <t>source_ref</t>
        </is>
      </c>
      <c r="J4" s="6" t="inlineStr">
        <is>
          <t>reviewer</t>
        </is>
      </c>
      <c r="K4" s="6" t="inlineStr">
        <is>
          <t>status</t>
        </is>
      </c>
    </row>
    <row r="5">
      <c r="A5" s="10" t="inlineStr">
        <is>
          <t>C</t>
        </is>
      </c>
      <c r="B5" s="10" t="inlineStr">
        <is>
          <t>DEMO-PROFILE</t>
        </is>
      </c>
      <c r="C5" s="10" t="inlineStr">
        <is>
          <t>[DEMO] Chi phí gián tiếp giả lập</t>
        </is>
      </c>
      <c r="D5" s="10" t="inlineStr">
        <is>
          <t>percentage_on_basis</t>
        </is>
      </c>
      <c r="E5" s="10" t="inlineStr">
        <is>
          <t>T</t>
        </is>
      </c>
      <c r="F5" s="14" t="n">
        <v>3.5</v>
      </c>
      <c r="G5" s="13" t="n"/>
      <c r="H5" s="10" t="inlineStr">
        <is>
          <t>round_cost</t>
        </is>
      </c>
      <c r="I5" s="10" t="inlineStr">
        <is>
          <t>DEMO – không có căn cứ pháp lý</t>
        </is>
      </c>
      <c r="J5" s="10" t="inlineStr"/>
      <c r="K5" s="10" t="inlineStr">
        <is>
          <t>demo</t>
        </is>
      </c>
    </row>
    <row r="6">
      <c r="A6" s="10" t="inlineStr">
        <is>
          <t>TL</t>
        </is>
      </c>
      <c r="B6" s="10" t="inlineStr">
        <is>
          <t>DEMO-PROFILE</t>
        </is>
      </c>
      <c r="C6" s="10" t="inlineStr">
        <is>
          <t>[DEMO] Thu nhập chịu thuế tính trước giả lập</t>
        </is>
      </c>
      <c r="D6" s="10" t="inlineStr">
        <is>
          <t>percentage_on_basis</t>
        </is>
      </c>
      <c r="E6" s="10" t="inlineStr">
        <is>
          <t>T;C</t>
        </is>
      </c>
      <c r="F6" s="14" t="n">
        <v>2.5</v>
      </c>
      <c r="G6" s="13" t="n"/>
      <c r="H6" s="10" t="inlineStr">
        <is>
          <t>round_cost</t>
        </is>
      </c>
      <c r="I6" s="10" t="inlineStr">
        <is>
          <t>DEMO – không có căn cứ pháp lý</t>
        </is>
      </c>
      <c r="J6" s="10" t="inlineStr"/>
      <c r="K6" s="10" t="inlineStr">
        <is>
          <t>demo</t>
        </is>
      </c>
    </row>
    <row r="7">
      <c r="A7" s="10" t="inlineStr">
        <is>
          <t>G</t>
        </is>
      </c>
      <c r="B7" s="10" t="inlineStr">
        <is>
          <t>DEMO-PROFILE</t>
        </is>
      </c>
      <c r="C7" s="10" t="inlineStr">
        <is>
          <t>[DEMO] Chi phí trước thuế</t>
        </is>
      </c>
      <c r="D7" s="10" t="inlineStr">
        <is>
          <t>sum</t>
        </is>
      </c>
      <c r="E7" s="10" t="inlineStr">
        <is>
          <t>T;C;TL</t>
        </is>
      </c>
      <c r="F7" s="14" t="n"/>
      <c r="G7" s="13" t="n"/>
      <c r="H7" s="10" t="inlineStr">
        <is>
          <t>none</t>
        </is>
      </c>
      <c r="I7" s="10" t="inlineStr">
        <is>
          <t>DEMO – không có căn cứ pháp lý</t>
        </is>
      </c>
      <c r="J7" s="10" t="inlineStr"/>
      <c r="K7" s="10" t="inlineStr">
        <is>
          <t>demo</t>
        </is>
      </c>
    </row>
    <row r="8">
      <c r="A8" s="10" t="inlineStr">
        <is>
          <t>GTGT</t>
        </is>
      </c>
      <c r="B8" s="10" t="inlineStr">
        <is>
          <t>DEMO-PROFILE</t>
        </is>
      </c>
      <c r="C8" s="10" t="inlineStr">
        <is>
          <t>[DEMO] Thuế giá trị gia tăng giả lập</t>
        </is>
      </c>
      <c r="D8" s="10" t="inlineStr">
        <is>
          <t>percentage_on_basis</t>
        </is>
      </c>
      <c r="E8" s="10" t="inlineStr">
        <is>
          <t>G</t>
        </is>
      </c>
      <c r="F8" s="14" t="n">
        <v>7.5</v>
      </c>
      <c r="G8" s="13" t="n"/>
      <c r="H8" s="10" t="inlineStr">
        <is>
          <t>round_cost</t>
        </is>
      </c>
      <c r="I8" s="10" t="inlineStr">
        <is>
          <t>DEMO – không có căn cứ pháp lý</t>
        </is>
      </c>
      <c r="J8" s="10" t="inlineStr"/>
      <c r="K8" s="10" t="inlineStr">
        <is>
          <t>demo</t>
        </is>
      </c>
    </row>
    <row r="9">
      <c r="A9" s="10" t="inlineStr">
        <is>
          <t>GXD</t>
        </is>
      </c>
      <c r="B9" s="10" t="inlineStr">
        <is>
          <t>DEMO-PROFILE</t>
        </is>
      </c>
      <c r="C9" s="10" t="inlineStr">
        <is>
          <t>[DEMO] Tổng chi phí sau thuế</t>
        </is>
      </c>
      <c r="D9" s="10" t="inlineStr">
        <is>
          <t>sum</t>
        </is>
      </c>
      <c r="E9" s="10" t="inlineStr">
        <is>
          <t>G;GTGT</t>
        </is>
      </c>
      <c r="F9" s="14" t="n"/>
      <c r="G9" s="13" t="n"/>
      <c r="H9" s="10" t="inlineStr">
        <is>
          <t>none</t>
        </is>
      </c>
      <c r="I9" s="10" t="inlineStr">
        <is>
          <t>DEMO – không có căn cứ pháp lý</t>
        </is>
      </c>
      <c r="J9" s="10" t="inlineStr"/>
      <c r="K9" s="10" t="inlineStr">
        <is>
          <t>demo</t>
        </is>
      </c>
    </row>
  </sheetData>
  <dataValidations count="3">
    <dataValidation sqref="D5:D3000" showDropDown="0" showInputMessage="0" showErrorMessage="0" allowBlank="1" type="list">
      <formula1>"percentage_on_basis,sum,fixed"</formula1>
    </dataValidation>
    <dataValidation sqref="H5:H3000" showDropDown="0" showInputMessage="0" showErrorMessage="0" allowBlank="1" type="list">
      <formula1>"round_cost,none"</formula1>
    </dataValidation>
    <dataValidation sqref="K5:K3000" showDropDown="0" showInputMessage="0" showErrorMessage="0" allowBlank="1" type="list">
      <formula1>"draft,approved,demo"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&amp;LTA Estimate – &amp;A&amp;CTrang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10" customWidth="1" min="4" max="4"/>
    <col width="22" customWidth="1" min="5" max="5"/>
    <col width="60" customWidth="1" min="6" max="6"/>
    <col width="40" customWidth="1" min="7" max="7"/>
    <col width="10" customWidth="1" min="8" max="8"/>
  </cols>
  <sheetData>
    <row r="1">
      <c r="A1" s="1" t="inlineStr">
        <is>
          <t>KẾT QUẢ KIỂM TRA (CHỈ LÀ BÁO CÁO – KHÔNG DÙNG ĐỂ TÍNH)</t>
        </is>
      </c>
    </row>
    <row r="2">
      <c r="A2" s="9" t="inlineStr">
        <is>
          <t>Báo cáo do lệnh Kiểm tra ghi ra. Công thức dự toán không lấy số từ sheet này.</t>
        </is>
      </c>
    </row>
    <row r="3" ht="30" customHeight="1">
      <c r="A3" s="5" t="inlineStr">
        <is>
          <t>STT</t>
        </is>
      </c>
      <c r="B3" s="5" t="inlineStr">
        <is>
          <t>Mức</t>
        </is>
      </c>
      <c r="C3" s="5" t="inlineStr">
        <is>
          <t>Mã lỗi</t>
        </is>
      </c>
      <c r="D3" s="5" t="inlineStr">
        <is>
          <t>Mã dòng</t>
        </is>
      </c>
      <c r="E3" s="5" t="inlineStr">
        <is>
          <t>Vị trí</t>
        </is>
      </c>
      <c r="F3" s="5" t="inlineStr">
        <is>
          <t>Mô tả</t>
        </is>
      </c>
      <c r="G3" s="5" t="inlineStr">
        <is>
          <t>Cách xử lý</t>
        </is>
      </c>
      <c r="H3" s="5" t="inlineStr">
        <is>
          <t>Trạng thái</t>
        </is>
      </c>
    </row>
    <row r="4">
      <c r="A4" s="6" t="inlineStr">
        <is>
          <t>check_id</t>
        </is>
      </c>
      <c r="B4" s="6" t="inlineStr">
        <is>
          <t>severity</t>
        </is>
      </c>
      <c r="C4" s="6" t="inlineStr">
        <is>
          <t>error_code</t>
        </is>
      </c>
      <c r="D4" s="6" t="inlineStr">
        <is>
          <t>item_id</t>
        </is>
      </c>
      <c r="E4" s="6" t="inlineStr">
        <is>
          <t>location</t>
        </is>
      </c>
      <c r="F4" s="6" t="inlineStr">
        <is>
          <t>message</t>
        </is>
      </c>
      <c r="G4" s="6" t="inlineStr">
        <is>
          <t>resolution</t>
        </is>
      </c>
      <c r="H4" s="6" t="inlineStr">
        <is>
          <t>status</t>
        </is>
      </c>
    </row>
    <row r="5">
      <c r="A5" t="n">
        <v>1</v>
      </c>
      <c r="B5" t="inlineStr">
        <is>
          <t>BLOCKER</t>
        </is>
      </c>
      <c r="C5" t="inlineStr">
        <is>
          <t>DEMO_DATA</t>
        </is>
      </c>
      <c r="D5" t="inlineStr">
        <is>
          <t>IT0001</t>
        </is>
      </c>
      <c r="E5" t="inlineStr">
        <is>
          <t>TIEN_LUONG!IT0001</t>
        </is>
      </c>
      <c r="F5" t="inlineStr">
        <is>
          <t>Công tác dùng dữ liệu DEMO (số giả lập).</t>
        </is>
      </c>
      <c r="G5" t="inlineStr">
        <is>
          <t>Thay bằng mã từ bộ định mức đã phát hành chính thức.</t>
        </is>
      </c>
      <c r="H5" t="inlineStr">
        <is>
          <t>open</t>
        </is>
      </c>
    </row>
    <row r="6">
      <c r="A6" t="n">
        <v>2</v>
      </c>
      <c r="B6" t="inlineStr">
        <is>
          <t>BLOCKER</t>
        </is>
      </c>
      <c r="C6" t="inlineStr">
        <is>
          <t>DEMO_DATA</t>
        </is>
      </c>
      <c r="D6" t="inlineStr">
        <is>
          <t>IT0002</t>
        </is>
      </c>
      <c r="E6" t="inlineStr">
        <is>
          <t>TIEN_LUONG!IT0002</t>
        </is>
      </c>
      <c r="F6" t="inlineStr">
        <is>
          <t>Công tác dùng dữ liệu DEMO (số giả lập).</t>
        </is>
      </c>
      <c r="G6" t="inlineStr">
        <is>
          <t>Thay bằng mã từ bộ định mức đã phát hành chính thức.</t>
        </is>
      </c>
      <c r="H6" t="inlineStr">
        <is>
          <t>open</t>
        </is>
      </c>
    </row>
    <row r="7">
      <c r="A7" t="n">
        <v>3</v>
      </c>
      <c r="B7" t="inlineStr">
        <is>
          <t>BLOCKER</t>
        </is>
      </c>
      <c r="C7" t="inlineStr">
        <is>
          <t>DEMO_DATA</t>
        </is>
      </c>
      <c r="D7" t="inlineStr">
        <is>
          <t>IT0003</t>
        </is>
      </c>
      <c r="E7" t="inlineStr">
        <is>
          <t>TIEN_LUONG!IT0003</t>
        </is>
      </c>
      <c r="F7" t="inlineStr">
        <is>
          <t>Công tác dùng dữ liệu DEMO (số giả lập).</t>
        </is>
      </c>
      <c r="G7" t="inlineStr">
        <is>
          <t>Thay bằng mã từ bộ định mức đã phát hành chính thức.</t>
        </is>
      </c>
      <c r="H7" t="inlineStr">
        <is>
          <t>open</t>
        </is>
      </c>
    </row>
    <row r="8">
      <c r="A8" t="n">
        <v>4</v>
      </c>
      <c r="B8" t="inlineStr">
        <is>
          <t>BLOCKER</t>
        </is>
      </c>
      <c r="C8" t="inlineStr">
        <is>
          <t>DEMO_DATA</t>
        </is>
      </c>
      <c r="D8" t="inlineStr">
        <is>
          <t>IT0004</t>
        </is>
      </c>
      <c r="E8" t="inlineStr">
        <is>
          <t>TIEN_LUONG!IT0004</t>
        </is>
      </c>
      <c r="F8" t="inlineStr">
        <is>
          <t>Công tác dùng dữ liệu DEMO (số giả lập).</t>
        </is>
      </c>
      <c r="G8" t="inlineStr">
        <is>
          <t>Thay bằng mã từ bộ định mức đã phát hành chính thức.</t>
        </is>
      </c>
      <c r="H8" t="inlineStr">
        <is>
          <t>open</t>
        </is>
      </c>
    </row>
    <row r="9">
      <c r="A9" t="n">
        <v>5</v>
      </c>
      <c r="B9" t="inlineStr">
        <is>
          <t>BLOCKER</t>
        </is>
      </c>
      <c r="C9" t="inlineStr">
        <is>
          <t>PROFILE_NOT_APPROVED</t>
        </is>
      </c>
      <c r="D9" t="inlineStr"/>
      <c r="E9" t="inlineStr">
        <is>
          <t>QUY_TAC_CP</t>
        </is>
      </c>
      <c r="F9" t="inlineStr">
        <is>
          <t>Bộ quy tắc chi phí DEMO-PROFILE có khoản chưa được duyệt (C, TL, G, GTGT, GXD).</t>
        </is>
      </c>
      <c r="G9" t="inlineStr">
        <is>
          <t>Người có trách nhiệm kiểm tra tỷ lệ, căn cứ rồi đổi trạng thái sang approved.</t>
        </is>
      </c>
      <c r="H9" t="inlineStr">
        <is>
          <t>open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&amp;LTA Estimate – &amp;A&amp;CTrang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M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9" customWidth="1" min="4" max="4"/>
    <col width="18" customWidth="1" min="5" max="5"/>
    <col width="8" customWidth="1" min="6" max="6"/>
    <col width="11" customWidth="1" min="7" max="7"/>
    <col width="36" customWidth="1" min="8" max="8"/>
    <col width="10" customWidth="1" min="9" max="9"/>
    <col width="10" customWidth="1" min="10" max="10"/>
    <col width="9" customWidth="1" min="11" max="11"/>
    <col width="12" customWidth="1" min="12" max="12"/>
    <col width="12" customWidth="1" min="13" max="13"/>
    <col width="12" customWidth="1" min="14" max="14"/>
    <col width="30" customWidth="1" min="15" max="15"/>
    <col width="24" customWidth="1" min="16" max="16"/>
    <col width="12" customWidth="1" min="17" max="17"/>
    <col width="7" customWidth="1" min="18" max="18"/>
    <col width="18" customWidth="1" min="19" max="19"/>
    <col width="13" customWidth="1" min="21" max="21"/>
    <col width="10" customWidth="1" min="22" max="22"/>
    <col width="8" customWidth="1" min="23" max="23"/>
    <col width="12" customWidth="1" min="24" max="24"/>
    <col width="28" customWidth="1" min="25" max="25"/>
    <col width="7" customWidth="1" min="26" max="26"/>
    <col width="6" customWidth="1" min="27" max="27"/>
    <col width="9" customWidth="1" min="28" max="28"/>
    <col width="10" customWidth="1" min="29" max="29"/>
    <col width="9" customWidth="1" min="30" max="30"/>
    <col width="13" customWidth="1" min="31" max="31"/>
    <col width="11" customWidth="1" min="32" max="32"/>
    <col width="20" customWidth="1" min="33" max="33"/>
    <col width="12" customWidth="1" min="35" max="35"/>
    <col width="10" customWidth="1" min="36" max="36"/>
    <col width="10" customWidth="1" min="37" max="37"/>
    <col width="60" customWidth="1" min="38" max="38"/>
    <col width="20" customWidth="1" min="39" max="39"/>
  </cols>
  <sheetData>
    <row r="1">
      <c r="A1" s="1" t="inlineStr">
        <is>
          <t>BẢN SAO ĐỊNH MỨC ĐÃ DÙNG TRONG CÔNG TRÌNH (KHÔNG SỬA TAY)</t>
        </is>
      </c>
    </row>
    <row r="2">
      <c r="A2" s="9" t="inlineStr">
        <is>
          <t>Bản sao định mức tại thời điểm chèn. Cập nhật thư viện không làm đổi các dòng này.</t>
        </is>
      </c>
    </row>
    <row r="3" ht="30" customHeight="1">
      <c r="A3" s="5" t="inlineStr">
        <is>
          <t>Snapshot</t>
        </is>
      </c>
      <c r="B3" s="5" t="inlineStr">
        <is>
          <t>Khóa định mức</t>
        </is>
      </c>
      <c r="C3" s="5" t="inlineStr">
        <is>
          <t>Bộ phát hành</t>
        </is>
      </c>
      <c r="D3" s="5" t="inlineStr">
        <is>
          <t>Bộ nguồn</t>
        </is>
      </c>
      <c r="E3" s="5" t="inlineStr">
        <is>
          <t>Văn bản</t>
        </is>
      </c>
      <c r="F3" s="5" t="inlineStr">
        <is>
          <t>Revision</t>
        </is>
      </c>
      <c r="G3" s="5" t="inlineStr">
        <is>
          <t>Mã hiệu</t>
        </is>
      </c>
      <c r="H3" s="5" t="inlineStr">
        <is>
          <t>Tên công tác</t>
        </is>
      </c>
      <c r="I3" s="5" t="inlineStr">
        <is>
          <t>Đơn vị nguồn</t>
        </is>
      </c>
      <c r="J3" s="5" t="inlineStr">
        <is>
          <t>Đơn vị cơ sở</t>
        </is>
      </c>
      <c r="K3" s="5" t="inlineStr">
        <is>
          <t>Quy mô ĐM</t>
        </is>
      </c>
      <c r="L3" s="5" t="inlineStr">
        <is>
          <t>Nhóm VL</t>
        </is>
      </c>
      <c r="M3" s="5" t="inlineStr">
        <is>
          <t>Nhóm NC</t>
        </is>
      </c>
      <c r="N3" s="5" t="inlineStr">
        <is>
          <t>Nhóm M</t>
        </is>
      </c>
      <c r="O3" s="5" t="inlineStr">
        <is>
          <t>Điều kiện áp dụng</t>
        </is>
      </c>
      <c r="P3" s="5" t="inlineStr">
        <is>
          <t>Nguồn (tệp/trang/bảng)</t>
        </is>
      </c>
      <c r="Q3" s="5" t="inlineStr">
        <is>
          <t>Trạng thái kiểm</t>
        </is>
      </c>
      <c r="R3" s="5" t="inlineStr">
        <is>
          <t>DEMO?</t>
        </is>
      </c>
      <c r="S3" s="5" t="inlineStr">
        <is>
          <t>Thời điểm chốt</t>
        </is>
      </c>
      <c r="U3" s="5" t="inlineStr">
        <is>
          <t>Dòng hao phí</t>
        </is>
      </c>
      <c r="V3" s="5" t="inlineStr">
        <is>
          <t>Snapshot</t>
        </is>
      </c>
      <c r="W3" s="5" t="inlineStr">
        <is>
          <t>Dòng gốc</t>
        </is>
      </c>
      <c r="X3" s="5" t="inlineStr">
        <is>
          <t>Mã tài nguyên</t>
        </is>
      </c>
      <c r="Y3" s="5" t="inlineStr">
        <is>
          <t>Tên tài nguyên</t>
        </is>
      </c>
      <c r="Z3" s="5" t="inlineStr">
        <is>
          <t>Đơn vị</t>
        </is>
      </c>
      <c r="AA3" s="5" t="inlineStr">
        <is>
          <t>Nhóm</t>
        </is>
      </c>
      <c r="AB3" s="5" t="inlineStr">
        <is>
          <t>Loại</t>
        </is>
      </c>
      <c r="AC3" s="5" t="inlineStr">
        <is>
          <t>Hao phí</t>
        </is>
      </c>
      <c r="AD3" s="5" t="inlineStr">
        <is>
          <t>Chuỗi gốc</t>
        </is>
      </c>
      <c r="AE3" s="5" t="inlineStr">
        <is>
          <t>Cơ sở %</t>
        </is>
      </c>
      <c r="AF3" s="5" t="inlineStr">
        <is>
          <t>Trạng thái</t>
        </is>
      </c>
      <c r="AG3" s="5" t="inlineStr">
        <is>
          <t>Nguồn</t>
        </is>
      </c>
      <c r="AI3" s="5" t="inlineStr">
        <is>
          <t>Mã ghi chú</t>
        </is>
      </c>
      <c r="AJ3" s="5" t="inlineStr">
        <is>
          <t>Snapshot</t>
        </is>
      </c>
      <c r="AK3" s="5" t="inlineStr">
        <is>
          <t>Phạm vi</t>
        </is>
      </c>
      <c r="AL3" s="5" t="inlineStr">
        <is>
          <t>Nội dung thuyết minh</t>
        </is>
      </c>
      <c r="AM3" s="5" t="inlineStr">
        <is>
          <t>Nguồn</t>
        </is>
      </c>
    </row>
    <row r="4">
      <c r="A4" s="6" t="inlineStr">
        <is>
          <t>snapshot_id</t>
        </is>
      </c>
      <c r="B4" s="6" t="inlineStr">
        <is>
          <t>norm_id</t>
        </is>
      </c>
      <c r="C4" s="6" t="inlineStr">
        <is>
          <t>catalog_release_id</t>
        </is>
      </c>
      <c r="D4" s="6" t="inlineStr">
        <is>
          <t>namespace</t>
        </is>
      </c>
      <c r="E4" s="6" t="inlineStr">
        <is>
          <t>document_id</t>
        </is>
      </c>
      <c r="F4" s="6" t="inlineStr">
        <is>
          <t>catalog_revision</t>
        </is>
      </c>
      <c r="G4" s="6" t="inlineStr">
        <is>
          <t>code</t>
        </is>
      </c>
      <c r="H4" s="6" t="inlineStr">
        <is>
          <t>description</t>
        </is>
      </c>
      <c r="I4" s="6" t="inlineStr">
        <is>
          <t>source_unit_text</t>
        </is>
      </c>
      <c r="J4" s="6" t="inlineStr">
        <is>
          <t>base_unit</t>
        </is>
      </c>
      <c r="K4" s="6" t="inlineStr">
        <is>
          <t>norm_basis_qty</t>
        </is>
      </c>
      <c r="L4" s="6" t="inlineStr">
        <is>
          <t>vl_status</t>
        </is>
      </c>
      <c r="M4" s="6" t="inlineStr">
        <is>
          <t>nc_status</t>
        </is>
      </c>
      <c r="N4" s="6" t="inlineStr">
        <is>
          <t>m_status</t>
        </is>
      </c>
      <c r="O4" s="6" t="inlineStr">
        <is>
          <t>conditions</t>
        </is>
      </c>
      <c r="P4" s="6" t="inlineStr">
        <is>
          <t>source_ref</t>
        </is>
      </c>
      <c r="Q4" s="6" t="inlineStr">
        <is>
          <t>status</t>
        </is>
      </c>
      <c r="R4" s="6" t="inlineStr">
        <is>
          <t>is_demo</t>
        </is>
      </c>
      <c r="S4" s="6" t="inlineStr">
        <is>
          <t>pinned_at</t>
        </is>
      </c>
      <c r="U4" s="6" t="inlineStr">
        <is>
          <t>snapshot_line_id</t>
        </is>
      </c>
      <c r="V4" s="6" t="inlineStr">
        <is>
          <t>snapshot_id</t>
        </is>
      </c>
      <c r="W4" s="6" t="inlineStr">
        <is>
          <t>local_line_id</t>
        </is>
      </c>
      <c r="X4" s="6" t="inlineStr">
        <is>
          <t>resource_id</t>
        </is>
      </c>
      <c r="Y4" s="6" t="inlineStr">
        <is>
          <t>resource_name</t>
        </is>
      </c>
      <c r="Z4" s="6" t="inlineStr">
        <is>
          <t>resource_unit</t>
        </is>
      </c>
      <c r="AA4" s="6" t="inlineStr">
        <is>
          <t>group</t>
        </is>
      </c>
      <c r="AB4" s="6" t="inlineStr">
        <is>
          <t>amount_kind</t>
        </is>
      </c>
      <c r="AC4" s="6" t="inlineStr">
        <is>
          <t>amount</t>
        </is>
      </c>
      <c r="AD4" s="6" t="inlineStr">
        <is>
          <t>amount_text</t>
        </is>
      </c>
      <c r="AE4" s="6" t="inlineStr">
        <is>
          <t>basis_ref</t>
        </is>
      </c>
      <c r="AF4" s="6" t="inlineStr">
        <is>
          <t>status</t>
        </is>
      </c>
      <c r="AG4" s="6" t="inlineStr">
        <is>
          <t>source_ref</t>
        </is>
      </c>
      <c r="AI4" s="6" t="inlineStr">
        <is>
          <t>note_id</t>
        </is>
      </c>
      <c r="AJ4" s="6" t="inlineStr">
        <is>
          <t>snapshot_id</t>
        </is>
      </c>
      <c r="AK4" s="6" t="inlineStr">
        <is>
          <t>scope</t>
        </is>
      </c>
      <c r="AL4" s="6" t="inlineStr">
        <is>
          <t>text</t>
        </is>
      </c>
      <c r="AM4" s="6" t="inlineStr">
        <is>
          <t>source_ref</t>
        </is>
      </c>
    </row>
    <row r="5">
      <c r="A5" t="inlineStr">
        <is>
          <t>SN0001</t>
        </is>
      </c>
      <c r="B5" t="inlineStr">
        <is>
          <t>DEMO|D01|1|DEMO.001|base</t>
        </is>
      </c>
      <c r="C5" t="inlineStr">
        <is>
          <t>DEMO-1</t>
        </is>
      </c>
      <c r="D5" t="inlineStr">
        <is>
          <t>DEMO</t>
        </is>
      </c>
      <c r="E5" t="inlineStr">
        <is>
          <t>DEMO-NOT-A-LEGAL-DOCUMENT</t>
        </is>
      </c>
      <c r="F5" t="inlineStr">
        <is>
          <t>1</t>
        </is>
      </c>
      <c r="G5" t="inlineStr">
        <is>
          <t>DEMO.001</t>
        </is>
      </c>
      <c r="H5" t="inlineStr">
        <is>
          <t>[DEMO] Công tác giả lập theo 100 m³</t>
        </is>
      </c>
      <c r="I5" t="inlineStr">
        <is>
          <t>100 m³</t>
        </is>
      </c>
      <c r="J5" t="inlineStr">
        <is>
          <t>m3</t>
        </is>
      </c>
      <c r="K5" s="12" t="n">
        <v>100</v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Số giả lập để kiểm phép tính; không dùng lập dự toán thực tế.</t>
        </is>
      </c>
      <c r="P5" t="inlineStr">
        <is>
          <t>DEMO</t>
        </is>
      </c>
      <c r="Q5" t="inlineStr">
        <is>
          <t>verified</t>
        </is>
      </c>
      <c r="R5" t="b">
        <v>1</v>
      </c>
      <c r="S5" t="inlineStr">
        <is>
          <t>2026-09-30T00:00:00</t>
        </is>
      </c>
      <c r="U5" t="inlineStr">
        <is>
          <t>SN0001.L1</t>
        </is>
      </c>
      <c r="V5" t="inlineStr">
        <is>
          <t>SN0001</t>
        </is>
      </c>
      <c r="W5" t="inlineStr">
        <is>
          <t>L1</t>
        </is>
      </c>
      <c r="X5" t="inlineStr">
        <is>
          <t>DEMO.VL1</t>
        </is>
      </c>
      <c r="Y5" t="inlineStr">
        <is>
          <t>Vật liệu thử</t>
        </is>
      </c>
      <c r="Z5" t="inlineStr">
        <is>
          <t>kg</t>
        </is>
      </c>
      <c r="AA5" t="inlineStr">
        <is>
          <t>VL</t>
        </is>
      </c>
      <c r="AB5" t="inlineStr">
        <is>
          <t>quantity</t>
        </is>
      </c>
      <c r="AC5" s="12" t="n">
        <v>10</v>
      </c>
      <c r="AD5" t="inlineStr">
        <is>
          <t>10</t>
        </is>
      </c>
      <c r="AE5" t="inlineStr"/>
      <c r="AF5" t="inlineStr">
        <is>
          <t>verified</t>
        </is>
      </c>
      <c r="AG5" t="inlineStr"/>
      <c r="AI5" t="inlineStr">
        <is>
          <t>SN0001.N-GEN-1</t>
        </is>
      </c>
      <c r="AJ5" t="inlineStr">
        <is>
          <t>SN0001</t>
        </is>
      </c>
      <c r="AK5" t="inlineStr">
        <is>
          <t>document</t>
        </is>
      </c>
      <c r="AL5" t="inlineStr">
        <is>
          <t>[DEMO] Thuyết minh chung giả lập: số liệu chỉ để kiểm tra phép tính.</t>
        </is>
      </c>
      <c r="AM5" t="inlineStr">
        <is>
          <t>DEMO</t>
        </is>
      </c>
    </row>
    <row r="6">
      <c r="A6" t="inlineStr">
        <is>
          <t>SN0002</t>
        </is>
      </c>
      <c r="B6" t="inlineStr">
        <is>
          <t>DEMO|D01|1|DEMO.001|base</t>
        </is>
      </c>
      <c r="C6" t="inlineStr">
        <is>
          <t>DEMO-1</t>
        </is>
      </c>
      <c r="D6" t="inlineStr">
        <is>
          <t>DEMO</t>
        </is>
      </c>
      <c r="E6" t="inlineStr">
        <is>
          <t>DEMO-NOT-A-LEGAL-DOCUMENT</t>
        </is>
      </c>
      <c r="F6" t="inlineStr">
        <is>
          <t>1</t>
        </is>
      </c>
      <c r="G6" t="inlineStr">
        <is>
          <t>DEMO.001</t>
        </is>
      </c>
      <c r="H6" t="inlineStr">
        <is>
          <t>[DEMO] Công tác giả lập theo 100 m³</t>
        </is>
      </c>
      <c r="I6" t="inlineStr">
        <is>
          <t>100 m³</t>
        </is>
      </c>
      <c r="J6" t="inlineStr">
        <is>
          <t>m3</t>
        </is>
      </c>
      <c r="K6" s="12" t="n">
        <v>100</v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Số giả lập để kiểm phép tính; không dùng lập dự toán thực tế.</t>
        </is>
      </c>
      <c r="P6" t="inlineStr">
        <is>
          <t>DEMO</t>
        </is>
      </c>
      <c r="Q6" t="inlineStr">
        <is>
          <t>verified</t>
        </is>
      </c>
      <c r="R6" t="b">
        <v>1</v>
      </c>
      <c r="S6" t="inlineStr">
        <is>
          <t>2026-09-30T00:00:00</t>
        </is>
      </c>
      <c r="U6" t="inlineStr">
        <is>
          <t>SN0001.L2</t>
        </is>
      </c>
      <c r="V6" t="inlineStr">
        <is>
          <t>SN0001</t>
        </is>
      </c>
      <c r="W6" t="inlineStr">
        <is>
          <t>L2</t>
        </is>
      </c>
      <c r="X6" t="inlineStr">
        <is>
          <t>DEMO.NC1</t>
        </is>
      </c>
      <c r="Y6" t="inlineStr">
        <is>
          <t>Nhân công thử</t>
        </is>
      </c>
      <c r="Z6" t="inlineStr">
        <is>
          <t>cong</t>
        </is>
      </c>
      <c r="AA6" t="inlineStr">
        <is>
          <t>NC</t>
        </is>
      </c>
      <c r="AB6" t="inlineStr">
        <is>
          <t>quantity</t>
        </is>
      </c>
      <c r="AC6" s="12" t="n">
        <v>2</v>
      </c>
      <c r="AD6" t="inlineStr">
        <is>
          <t>2</t>
        </is>
      </c>
      <c r="AE6" t="inlineStr"/>
      <c r="AF6" t="inlineStr">
        <is>
          <t>verified</t>
        </is>
      </c>
      <c r="AG6" t="inlineStr"/>
      <c r="AI6" t="inlineStr">
        <is>
          <t>SN0002.N-GEN-1</t>
        </is>
      </c>
      <c r="AJ6" t="inlineStr">
        <is>
          <t>SN0002</t>
        </is>
      </c>
      <c r="AK6" t="inlineStr">
        <is>
          <t>document</t>
        </is>
      </c>
      <c r="AL6" t="inlineStr">
        <is>
          <t>[DEMO] Thuyết minh chung giả lập: số liệu chỉ để kiểm tra phép tính.</t>
        </is>
      </c>
      <c r="AM6" t="inlineStr">
        <is>
          <t>DEMO</t>
        </is>
      </c>
    </row>
    <row r="7">
      <c r="A7" t="inlineStr">
        <is>
          <t>SN0003</t>
        </is>
      </c>
      <c r="B7" t="inlineStr">
        <is>
          <t>DEMO|D01|1|DEMO.020|base</t>
        </is>
      </c>
      <c r="C7" t="inlineStr">
        <is>
          <t>DEMO-1</t>
        </is>
      </c>
      <c r="D7" t="inlineStr">
        <is>
          <t>DEMO</t>
        </is>
      </c>
      <c r="E7" t="inlineStr">
        <is>
          <t>DEMO-NOT-A-LEGAL-DOCUMENT</t>
        </is>
      </c>
      <c r="F7" t="inlineStr">
        <is>
          <t>1</t>
        </is>
      </c>
      <c r="G7" t="inlineStr">
        <is>
          <t>DEMO.020</t>
        </is>
      </c>
      <c r="H7" t="inlineStr">
        <is>
          <t>[DEMO] Bê tông kênh giả lập, vật liệu khác theo % nhóm VL</t>
        </is>
      </c>
      <c r="I7" t="inlineStr">
        <is>
          <t>1 m³</t>
        </is>
      </c>
      <c r="J7" t="inlineStr">
        <is>
          <t>m3</t>
        </is>
      </c>
      <c r="K7" s="12" t="n">
        <v>1</v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Giả lập: dòng % lấy cơ sở là toàn bộ vật liệu chính (nhóm VL).</t>
        </is>
      </c>
      <c r="P7" t="inlineStr">
        <is>
          <t>DEMO</t>
        </is>
      </c>
      <c r="Q7" t="inlineStr">
        <is>
          <t>verified</t>
        </is>
      </c>
      <c r="R7" t="b">
        <v>1</v>
      </c>
      <c r="S7" t="inlineStr">
        <is>
          <t>2026-09-30T00:00:00</t>
        </is>
      </c>
      <c r="U7" t="inlineStr">
        <is>
          <t>SN0001.L3</t>
        </is>
      </c>
      <c r="V7" t="inlineStr">
        <is>
          <t>SN0001</t>
        </is>
      </c>
      <c r="W7" t="inlineStr">
        <is>
          <t>L3</t>
        </is>
      </c>
      <c r="X7" t="inlineStr">
        <is>
          <t>DEMO.M1</t>
        </is>
      </c>
      <c r="Y7" t="inlineStr">
        <is>
          <t>Máy thử</t>
        </is>
      </c>
      <c r="Z7" t="inlineStr">
        <is>
          <t>ca</t>
        </is>
      </c>
      <c r="AA7" t="inlineStr">
        <is>
          <t>M</t>
        </is>
      </c>
      <c r="AB7" t="inlineStr">
        <is>
          <t>quantity</t>
        </is>
      </c>
      <c r="AC7" s="12" t="n">
        <v>1</v>
      </c>
      <c r="AD7" t="inlineStr">
        <is>
          <t>1</t>
        </is>
      </c>
      <c r="AE7" t="inlineStr"/>
      <c r="AF7" t="inlineStr">
        <is>
          <t>verified</t>
        </is>
      </c>
      <c r="AG7" t="inlineStr"/>
      <c r="AI7" t="inlineStr">
        <is>
          <t>SN0003.N-GEN-1</t>
        </is>
      </c>
      <c r="AJ7" t="inlineStr">
        <is>
          <t>SN0003</t>
        </is>
      </c>
      <c r="AK7" t="inlineStr">
        <is>
          <t>document</t>
        </is>
      </c>
      <c r="AL7" t="inlineStr">
        <is>
          <t>[DEMO] Thuyết minh chung giả lập: số liệu chỉ để kiểm tra phép tính.</t>
        </is>
      </c>
      <c r="AM7" t="inlineStr">
        <is>
          <t>DEMO</t>
        </is>
      </c>
    </row>
    <row r="8">
      <c r="A8" t="inlineStr">
        <is>
          <t>SN0004</t>
        </is>
      </c>
      <c r="B8" t="inlineStr">
        <is>
          <t>DEMO|D01|1|DEMO.030|base</t>
        </is>
      </c>
      <c r="C8" t="inlineStr">
        <is>
          <t>DEMO-1</t>
        </is>
      </c>
      <c r="D8" t="inlineStr">
        <is>
          <t>DEMO</t>
        </is>
      </c>
      <c r="E8" t="inlineStr">
        <is>
          <t>DEMO-NOT-A-LEGAL-DOCUMENT</t>
        </is>
      </c>
      <c r="F8" t="inlineStr">
        <is>
          <t>1</t>
        </is>
      </c>
      <c r="G8" t="inlineStr">
        <is>
          <t>DEMO.030</t>
        </is>
      </c>
      <c r="H8" t="inlineStr">
        <is>
          <t>[DEMO] Công tác giả lập tính theo kg (thử đổi tấn sang kg)</t>
        </is>
      </c>
      <c r="I8" t="inlineStr">
        <is>
          <t>1 kg</t>
        </is>
      </c>
      <c r="J8" t="inlineStr">
        <is>
          <t>kg</t>
        </is>
      </c>
      <c r="K8" s="12" t="n">
        <v>1</v>
      </c>
      <c r="L8" t="inlineStr">
        <is>
          <t>present</t>
        </is>
      </c>
      <c r="M8" t="inlineStr">
        <is>
          <t>present</t>
        </is>
      </c>
      <c r="N8" t="inlineStr">
        <is>
          <t>none_verified</t>
        </is>
      </c>
      <c r="O8" t="inlineStr">
        <is>
          <t>Giả lập: nhập khối lượng bằng tấn, hệ số đổi 1000.</t>
        </is>
      </c>
      <c r="P8" t="inlineStr">
        <is>
          <t>DEMO</t>
        </is>
      </c>
      <c r="Q8" t="inlineStr">
        <is>
          <t>verified</t>
        </is>
      </c>
      <c r="R8" t="b">
        <v>1</v>
      </c>
      <c r="S8" t="inlineStr">
        <is>
          <t>2026-09-30T00:00:00</t>
        </is>
      </c>
      <c r="U8" t="inlineStr">
        <is>
          <t>SN0001.L4</t>
        </is>
      </c>
      <c r="V8" t="inlineStr">
        <is>
          <t>SN0001</t>
        </is>
      </c>
      <c r="W8" t="inlineStr">
        <is>
          <t>L4</t>
        </is>
      </c>
      <c r="X8" t="inlineStr"/>
      <c r="Y8" t="inlineStr">
        <is>
          <t>Khoản % (2% trên L1)</t>
        </is>
      </c>
      <c r="Z8" t="inlineStr">
        <is>
          <t>%</t>
        </is>
      </c>
      <c r="AA8" t="inlineStr">
        <is>
          <t>VL</t>
        </is>
      </c>
      <c r="AB8" t="inlineStr">
        <is>
          <t>percent</t>
        </is>
      </c>
      <c r="AC8" s="12" t="n">
        <v>2</v>
      </c>
      <c r="AD8" t="inlineStr">
        <is>
          <t>2</t>
        </is>
      </c>
      <c r="AE8" t="inlineStr">
        <is>
          <t>SN0001.L1</t>
        </is>
      </c>
      <c r="AF8" t="inlineStr">
        <is>
          <t>verified</t>
        </is>
      </c>
      <c r="AG8" t="inlineStr"/>
      <c r="AI8" t="inlineStr">
        <is>
          <t>SN0004.N-GEN-1</t>
        </is>
      </c>
      <c r="AJ8" t="inlineStr">
        <is>
          <t>SN0004</t>
        </is>
      </c>
      <c r="AK8" t="inlineStr">
        <is>
          <t>document</t>
        </is>
      </c>
      <c r="AL8" t="inlineStr">
        <is>
          <t>[DEMO] Thuyết minh chung giả lập: số liệu chỉ để kiểm tra phép tính.</t>
        </is>
      </c>
      <c r="AM8" t="inlineStr">
        <is>
          <t>DEMO</t>
        </is>
      </c>
    </row>
    <row r="9">
      <c r="U9" t="inlineStr">
        <is>
          <t>SN0002.L1</t>
        </is>
      </c>
      <c r="V9" t="inlineStr">
        <is>
          <t>SN0002</t>
        </is>
      </c>
      <c r="W9" t="inlineStr">
        <is>
          <t>L1</t>
        </is>
      </c>
      <c r="X9" t="inlineStr">
        <is>
          <t>DEMO.VL1</t>
        </is>
      </c>
      <c r="Y9" t="inlineStr">
        <is>
          <t>Vật liệu thử</t>
        </is>
      </c>
      <c r="Z9" t="inlineStr">
        <is>
          <t>kg</t>
        </is>
      </c>
      <c r="AA9" t="inlineStr">
        <is>
          <t>VL</t>
        </is>
      </c>
      <c r="AB9" t="inlineStr">
        <is>
          <t>quantity</t>
        </is>
      </c>
      <c r="AC9" s="12" t="n">
        <v>10</v>
      </c>
      <c r="AD9" t="inlineStr">
        <is>
          <t>10</t>
        </is>
      </c>
      <c r="AE9" t="inlineStr"/>
      <c r="AF9" t="inlineStr">
        <is>
          <t>verified</t>
        </is>
      </c>
      <c r="AG9" t="inlineStr"/>
    </row>
    <row r="10">
      <c r="U10" t="inlineStr">
        <is>
          <t>SN0002.L2</t>
        </is>
      </c>
      <c r="V10" t="inlineStr">
        <is>
          <t>SN0002</t>
        </is>
      </c>
      <c r="W10" t="inlineStr">
        <is>
          <t>L2</t>
        </is>
      </c>
      <c r="X10" t="inlineStr">
        <is>
          <t>DEMO.NC1</t>
        </is>
      </c>
      <c r="Y10" t="inlineStr">
        <is>
          <t>Nhân công thử</t>
        </is>
      </c>
      <c r="Z10" t="inlineStr">
        <is>
          <t>cong</t>
        </is>
      </c>
      <c r="AA10" t="inlineStr">
        <is>
          <t>NC</t>
        </is>
      </c>
      <c r="AB10" t="inlineStr">
        <is>
          <t>quantity</t>
        </is>
      </c>
      <c r="AC10" s="12" t="n">
        <v>2</v>
      </c>
      <c r="AD10" t="inlineStr">
        <is>
          <t>2</t>
        </is>
      </c>
      <c r="AE10" t="inlineStr"/>
      <c r="AF10" t="inlineStr">
        <is>
          <t>verified</t>
        </is>
      </c>
      <c r="AG10" t="inlineStr"/>
    </row>
    <row r="11">
      <c r="U11" t="inlineStr">
        <is>
          <t>SN0002.L3</t>
        </is>
      </c>
      <c r="V11" t="inlineStr">
        <is>
          <t>SN0002</t>
        </is>
      </c>
      <c r="W11" t="inlineStr">
        <is>
          <t>L3</t>
        </is>
      </c>
      <c r="X11" t="inlineStr">
        <is>
          <t>DEMO.M1</t>
        </is>
      </c>
      <c r="Y11" t="inlineStr">
        <is>
          <t>Máy thử</t>
        </is>
      </c>
      <c r="Z11" t="inlineStr">
        <is>
          <t>ca</t>
        </is>
      </c>
      <c r="AA11" t="inlineStr">
        <is>
          <t>M</t>
        </is>
      </c>
      <c r="AB11" t="inlineStr">
        <is>
          <t>quantity</t>
        </is>
      </c>
      <c r="AC11" s="12" t="n">
        <v>1</v>
      </c>
      <c r="AD11" t="inlineStr">
        <is>
          <t>1</t>
        </is>
      </c>
      <c r="AE11" t="inlineStr"/>
      <c r="AF11" t="inlineStr">
        <is>
          <t>verified</t>
        </is>
      </c>
      <c r="AG11" t="inlineStr"/>
    </row>
    <row r="12">
      <c r="U12" t="inlineStr">
        <is>
          <t>SN0002.L4</t>
        </is>
      </c>
      <c r="V12" t="inlineStr">
        <is>
          <t>SN0002</t>
        </is>
      </c>
      <c r="W12" t="inlineStr">
        <is>
          <t>L4</t>
        </is>
      </c>
      <c r="X12" t="inlineStr"/>
      <c r="Y12" t="inlineStr">
        <is>
          <t>Khoản % (2% trên L1)</t>
        </is>
      </c>
      <c r="Z12" t="inlineStr">
        <is>
          <t>%</t>
        </is>
      </c>
      <c r="AA12" t="inlineStr">
        <is>
          <t>VL</t>
        </is>
      </c>
      <c r="AB12" t="inlineStr">
        <is>
          <t>percent</t>
        </is>
      </c>
      <c r="AC12" s="12" t="n">
        <v>2</v>
      </c>
      <c r="AD12" t="inlineStr">
        <is>
          <t>2</t>
        </is>
      </c>
      <c r="AE12" t="inlineStr">
        <is>
          <t>SN0002.L1</t>
        </is>
      </c>
      <c r="AF12" t="inlineStr">
        <is>
          <t>verified</t>
        </is>
      </c>
      <c r="AG12" t="inlineStr"/>
    </row>
    <row r="13">
      <c r="U13" t="inlineStr">
        <is>
          <t>SN0003.L1</t>
        </is>
      </c>
      <c r="V13" t="inlineStr">
        <is>
          <t>SN0003</t>
        </is>
      </c>
      <c r="W13" t="inlineStr">
        <is>
          <t>L1</t>
        </is>
      </c>
      <c r="X13" t="inlineStr">
        <is>
          <t>DEMO.VL1</t>
        </is>
      </c>
      <c r="Y13" t="inlineStr">
        <is>
          <t>Vật liệu thử</t>
        </is>
      </c>
      <c r="Z13" t="inlineStr">
        <is>
          <t>kg</t>
        </is>
      </c>
      <c r="AA13" t="inlineStr">
        <is>
          <t>VL</t>
        </is>
      </c>
      <c r="AB13" t="inlineStr">
        <is>
          <t>quantity</t>
        </is>
      </c>
      <c r="AC13" s="12" t="n">
        <v>300</v>
      </c>
      <c r="AD13" t="inlineStr">
        <is>
          <t>300</t>
        </is>
      </c>
      <c r="AE13" t="inlineStr"/>
      <c r="AF13" t="inlineStr">
        <is>
          <t>verified</t>
        </is>
      </c>
      <c r="AG13" t="inlineStr"/>
    </row>
    <row r="14">
      <c r="U14" t="inlineStr">
        <is>
          <t>SN0003.L2</t>
        </is>
      </c>
      <c r="V14" t="inlineStr">
        <is>
          <t>SN0003</t>
        </is>
      </c>
      <c r="W14" t="inlineStr">
        <is>
          <t>L2</t>
        </is>
      </c>
      <c r="X14" t="inlineStr">
        <is>
          <t>DEMO.VL3</t>
        </is>
      </c>
      <c r="Y14" t="inlineStr">
        <is>
          <t>Vật liệu thử 3</t>
        </is>
      </c>
      <c r="Z14" t="inlineStr">
        <is>
          <t>kg</t>
        </is>
      </c>
      <c r="AA14" t="inlineStr">
        <is>
          <t>VL</t>
        </is>
      </c>
      <c r="AB14" t="inlineStr">
        <is>
          <t>quantity</t>
        </is>
      </c>
      <c r="AC14" s="12" t="n">
        <v>50</v>
      </c>
      <c r="AD14" t="inlineStr">
        <is>
          <t>50</t>
        </is>
      </c>
      <c r="AE14" t="inlineStr"/>
      <c r="AF14" t="inlineStr">
        <is>
          <t>verified</t>
        </is>
      </c>
      <c r="AG14" t="inlineStr"/>
    </row>
    <row r="15">
      <c r="U15" t="inlineStr">
        <is>
          <t>SN0003.L3</t>
        </is>
      </c>
      <c r="V15" t="inlineStr">
        <is>
          <t>SN0003</t>
        </is>
      </c>
      <c r="W15" t="inlineStr">
        <is>
          <t>L3</t>
        </is>
      </c>
      <c r="X15" t="inlineStr">
        <is>
          <t>DEMO.NC1</t>
        </is>
      </c>
      <c r="Y15" t="inlineStr">
        <is>
          <t>Nhân công thử</t>
        </is>
      </c>
      <c r="Z15" t="inlineStr">
        <is>
          <t>cong</t>
        </is>
      </c>
      <c r="AA15" t="inlineStr">
        <is>
          <t>NC</t>
        </is>
      </c>
      <c r="AB15" t="inlineStr">
        <is>
          <t>quantity</t>
        </is>
      </c>
      <c r="AC15" s="12" t="n">
        <v>1.5</v>
      </c>
      <c r="AD15" t="inlineStr">
        <is>
          <t>1.5</t>
        </is>
      </c>
      <c r="AE15" t="inlineStr"/>
      <c r="AF15" t="inlineStr">
        <is>
          <t>verified</t>
        </is>
      </c>
      <c r="AG15" t="inlineStr"/>
    </row>
    <row r="16">
      <c r="U16" t="inlineStr">
        <is>
          <t>SN0003.L4</t>
        </is>
      </c>
      <c r="V16" t="inlineStr">
        <is>
          <t>SN0003</t>
        </is>
      </c>
      <c r="W16" t="inlineStr">
        <is>
          <t>L4</t>
        </is>
      </c>
      <c r="X16" t="inlineStr">
        <is>
          <t>DEMO.M1</t>
        </is>
      </c>
      <c r="Y16" t="inlineStr">
        <is>
          <t>Máy thử</t>
        </is>
      </c>
      <c r="Z16" t="inlineStr">
        <is>
          <t>ca</t>
        </is>
      </c>
      <c r="AA16" t="inlineStr">
        <is>
          <t>M</t>
        </is>
      </c>
      <c r="AB16" t="inlineStr">
        <is>
          <t>quantity</t>
        </is>
      </c>
      <c r="AC16" s="12" t="n">
        <v>0.1</v>
      </c>
      <c r="AD16" t="inlineStr">
        <is>
          <t>0.1</t>
        </is>
      </c>
      <c r="AE16" t="inlineStr"/>
      <c r="AF16" t="inlineStr">
        <is>
          <t>verified</t>
        </is>
      </c>
      <c r="AG16" t="inlineStr"/>
    </row>
    <row r="17">
      <c r="U17" t="inlineStr">
        <is>
          <t>SN0003.L5</t>
        </is>
      </c>
      <c r="V17" t="inlineStr">
        <is>
          <t>SN0003</t>
        </is>
      </c>
      <c r="W17" t="inlineStr">
        <is>
          <t>L5</t>
        </is>
      </c>
      <c r="X17" t="inlineStr"/>
      <c r="Y17" t="inlineStr">
        <is>
          <t>Khoản % (1.5% trên VL)</t>
        </is>
      </c>
      <c r="Z17" t="inlineStr">
        <is>
          <t>%</t>
        </is>
      </c>
      <c r="AA17" t="inlineStr">
        <is>
          <t>VL</t>
        </is>
      </c>
      <c r="AB17" t="inlineStr">
        <is>
          <t>percent</t>
        </is>
      </c>
      <c r="AC17" s="12" t="n">
        <v>1.5</v>
      </c>
      <c r="AD17" t="inlineStr">
        <is>
          <t>1.5</t>
        </is>
      </c>
      <c r="AE17" t="inlineStr">
        <is>
          <t>VL</t>
        </is>
      </c>
      <c r="AF17" t="inlineStr">
        <is>
          <t>verified</t>
        </is>
      </c>
      <c r="AG17" t="inlineStr"/>
    </row>
    <row r="18">
      <c r="U18" t="inlineStr">
        <is>
          <t>SN0004.L1</t>
        </is>
      </c>
      <c r="V18" t="inlineStr">
        <is>
          <t>SN0004</t>
        </is>
      </c>
      <c r="W18" t="inlineStr">
        <is>
          <t>L1</t>
        </is>
      </c>
      <c r="X18" t="inlineStr">
        <is>
          <t>DEMO.VL3</t>
        </is>
      </c>
      <c r="Y18" t="inlineStr">
        <is>
          <t>Vật liệu thử 3</t>
        </is>
      </c>
      <c r="Z18" t="inlineStr">
        <is>
          <t>kg</t>
        </is>
      </c>
      <c r="AA18" t="inlineStr">
        <is>
          <t>VL</t>
        </is>
      </c>
      <c r="AB18" t="inlineStr">
        <is>
          <t>quantity</t>
        </is>
      </c>
      <c r="AC18" s="12" t="n">
        <v>1.02</v>
      </c>
      <c r="AD18" t="inlineStr">
        <is>
          <t>1.02</t>
        </is>
      </c>
      <c r="AE18" t="inlineStr"/>
      <c r="AF18" t="inlineStr">
        <is>
          <t>verified</t>
        </is>
      </c>
      <c r="AG18" t="inlineStr"/>
    </row>
    <row r="19">
      <c r="U19" t="inlineStr">
        <is>
          <t>SN0004.L2</t>
        </is>
      </c>
      <c r="V19" t="inlineStr">
        <is>
          <t>SN0004</t>
        </is>
      </c>
      <c r="W19" t="inlineStr">
        <is>
          <t>L2</t>
        </is>
      </c>
      <c r="X19" t="inlineStr">
        <is>
          <t>DEMO.NC1</t>
        </is>
      </c>
      <c r="Y19" t="inlineStr">
        <is>
          <t>Nhân công thử</t>
        </is>
      </c>
      <c r="Z19" t="inlineStr">
        <is>
          <t>cong</t>
        </is>
      </c>
      <c r="AA19" t="inlineStr">
        <is>
          <t>NC</t>
        </is>
      </c>
      <c r="AB19" t="inlineStr">
        <is>
          <t>quantity</t>
        </is>
      </c>
      <c r="AC19" s="12" t="n">
        <v>0.01</v>
      </c>
      <c r="AD19" t="inlineStr">
        <is>
          <t>0.01</t>
        </is>
      </c>
      <c r="AE19" t="inlineStr"/>
      <c r="AF19" t="inlineStr">
        <is>
          <t>verified</t>
        </is>
      </c>
      <c r="AG19" t="inlineStr"/>
    </row>
  </sheetData>
  <pageMargins left="0.75" right="0.75" top="1" bottom="1" header="0.5" footer="0.5"/>
  <pageSetup orientation="landscape" paperSize="8" fitToHeight="0" fitToWidth="1"/>
  <headerFooter>
    <oddHeader/>
    <oddFooter>&amp;LTA Estimate – &amp;A&amp;CTrang &amp;P/&amp;N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30" customWidth="1" min="9" max="9"/>
    <col width="24" customWidth="1" min="10" max="10"/>
  </cols>
  <sheetData>
    <row r="1">
      <c r="A1" s="1" t="inlineStr">
        <is>
          <t>NHẬT KÝ THAY ĐỔI</t>
        </is>
      </c>
    </row>
    <row r="2">
      <c r="A2" s="9" t="inlineStr">
        <is>
          <t>Ô nền vàng chữ xanh là ô nhập. Ô khác do add-in ghi hoặc là công thức Excel chuẩn – không sửa tay.</t>
        </is>
      </c>
    </row>
    <row r="3" ht="30" customHeight="1">
      <c r="A3" s="5" t="inlineStr">
        <is>
          <t>STT</t>
        </is>
      </c>
      <c r="B3" s="5" t="inlineStr">
        <is>
          <t>Thời điểm</t>
        </is>
      </c>
      <c r="C3" s="5" t="inlineStr">
        <is>
          <t>Người thực hiện</t>
        </is>
      </c>
      <c r="D3" s="5" t="inlineStr">
        <is>
          <t>Thao tác</t>
        </is>
      </c>
      <c r="E3" s="5" t="inlineStr">
        <is>
          <t>Mã dòng</t>
        </is>
      </c>
      <c r="F3" s="5" t="inlineStr">
        <is>
          <t>Trường</t>
        </is>
      </c>
      <c r="G3" s="5" t="inlineStr">
        <is>
          <t>Trước</t>
        </is>
      </c>
      <c r="H3" s="5" t="inlineStr">
        <is>
          <t>Sau</t>
        </is>
      </c>
      <c r="I3" s="5" t="inlineStr">
        <is>
          <t>Lý do</t>
        </is>
      </c>
      <c r="J3" s="5" t="inlineStr">
        <is>
          <t>Căn cứ</t>
        </is>
      </c>
    </row>
    <row r="4">
      <c r="A4" s="6" t="inlineStr">
        <is>
          <t>event_id</t>
        </is>
      </c>
      <c r="B4" s="6" t="inlineStr">
        <is>
          <t>timestamp</t>
        </is>
      </c>
      <c r="C4" s="6" t="inlineStr">
        <is>
          <t>user</t>
        </is>
      </c>
      <c r="D4" s="6" t="inlineStr">
        <is>
          <t>action</t>
        </is>
      </c>
      <c r="E4" s="6" t="inlineStr">
        <is>
          <t>item_id</t>
        </is>
      </c>
      <c r="F4" s="6" t="inlineStr">
        <is>
          <t>field</t>
        </is>
      </c>
      <c r="G4" s="6" t="inlineStr">
        <is>
          <t>before</t>
        </is>
      </c>
      <c r="H4" s="6" t="inlineStr">
        <is>
          <t>after</t>
        </is>
      </c>
      <c r="I4" s="6" t="inlineStr">
        <is>
          <t>reason</t>
        </is>
      </c>
      <c r="J4" s="6" t="inlineStr">
        <is>
          <t>source_ref</t>
        </is>
      </c>
    </row>
    <row r="5">
      <c r="A5" t="inlineStr">
        <is>
          <t>EV000001</t>
        </is>
      </c>
      <c r="B5" t="inlineStr">
        <is>
          <t>2026-09-30T00:00:00</t>
        </is>
      </c>
      <c r="C5" t="inlineStr">
        <is>
          <t>TA-build</t>
        </is>
      </c>
      <c r="D5" t="inlineStr">
        <is>
          <t>insert_item</t>
        </is>
      </c>
      <c r="E5" t="inlineStr">
        <is>
          <t>IT0001</t>
        </is>
      </c>
      <c r="F5" t="inlineStr">
        <is>
          <t>norm_id</t>
        </is>
      </c>
      <c r="G5" t="inlineStr"/>
      <c r="H5" t="inlineStr">
        <is>
          <t>DEMO|D01|1|DEMO.001|base</t>
        </is>
      </c>
      <c r="I5" t="inlineStr"/>
      <c r="J5" t="inlineStr">
        <is>
          <t>DEMO-NOT-A-LEGAL-DOCUMENT rev 1</t>
        </is>
      </c>
    </row>
    <row r="6">
      <c r="A6" t="inlineStr">
        <is>
          <t>EV000002</t>
        </is>
      </c>
      <c r="B6" t="inlineStr">
        <is>
          <t>2026-09-30T00:00:00</t>
        </is>
      </c>
      <c r="C6" t="inlineStr">
        <is>
          <t>TA-build</t>
        </is>
      </c>
      <c r="D6" t="inlineStr">
        <is>
          <t>insert_item</t>
        </is>
      </c>
      <c r="E6" t="inlineStr">
        <is>
          <t>IT0002</t>
        </is>
      </c>
      <c r="F6" t="inlineStr">
        <is>
          <t>norm_id</t>
        </is>
      </c>
      <c r="G6" t="inlineStr"/>
      <c r="H6" t="inlineStr">
        <is>
          <t>DEMO|D01|1|DEMO.001|base</t>
        </is>
      </c>
      <c r="I6" t="inlineStr"/>
      <c r="J6" t="inlineStr">
        <is>
          <t>DEMO-NOT-A-LEGAL-DOCUMENT rev 1</t>
        </is>
      </c>
    </row>
    <row r="7">
      <c r="A7" t="inlineStr">
        <is>
          <t>EV000003</t>
        </is>
      </c>
      <c r="B7" t="inlineStr">
        <is>
          <t>2026-09-30T00:00:00</t>
        </is>
      </c>
      <c r="C7" t="inlineStr">
        <is>
          <t>TA-build</t>
        </is>
      </c>
      <c r="D7" t="inlineStr">
        <is>
          <t>insert_item</t>
        </is>
      </c>
      <c r="E7" t="inlineStr">
        <is>
          <t>IT0003</t>
        </is>
      </c>
      <c r="F7" t="inlineStr">
        <is>
          <t>norm_id</t>
        </is>
      </c>
      <c r="G7" t="inlineStr"/>
      <c r="H7" t="inlineStr">
        <is>
          <t>DEMO|D01|1|DEMO.020|base</t>
        </is>
      </c>
      <c r="I7" t="inlineStr"/>
      <c r="J7" t="inlineStr">
        <is>
          <t>DEMO-NOT-A-LEGAL-DOCUMENT rev 1</t>
        </is>
      </c>
    </row>
    <row r="8">
      <c r="A8" t="inlineStr">
        <is>
          <t>EV000004</t>
        </is>
      </c>
      <c r="B8" t="inlineStr">
        <is>
          <t>2026-09-30T00:00:00</t>
        </is>
      </c>
      <c r="C8" t="inlineStr">
        <is>
          <t>TA-build</t>
        </is>
      </c>
      <c r="D8" t="inlineStr">
        <is>
          <t>insert_item</t>
        </is>
      </c>
      <c r="E8" t="inlineStr">
        <is>
          <t>IT0004</t>
        </is>
      </c>
      <c r="F8" t="inlineStr">
        <is>
          <t>norm_id</t>
        </is>
      </c>
      <c r="G8" t="inlineStr"/>
      <c r="H8" t="inlineStr">
        <is>
          <t>DEMO|D01|1|DEMO.030|base</t>
        </is>
      </c>
      <c r="I8" t="inlineStr"/>
      <c r="J8" t="inlineStr">
        <is>
          <t>DEMO-NOT-A-LEGAL-DOCUMENT rev 1</t>
        </is>
      </c>
    </row>
    <row r="9">
      <c r="A9" t="inlineStr">
        <is>
          <t>EV000005</t>
        </is>
      </c>
      <c r="B9" t="inlineStr">
        <is>
          <t>2026-09-30T00:00:00</t>
        </is>
      </c>
      <c r="C9" t="inlineStr">
        <is>
          <t>TA-build</t>
        </is>
      </c>
      <c r="D9" t="inlineStr">
        <is>
          <t>apply_factor</t>
        </is>
      </c>
      <c r="E9" t="inlineStr">
        <is>
          <t>IT0002</t>
        </is>
      </c>
      <c r="F9" t="inlineStr">
        <is>
          <t>adjustment_factor:SN0002.L2</t>
        </is>
      </c>
      <c r="G9" t="n">
        <v>1</v>
      </c>
      <c r="H9" t="n">
        <v>1.1</v>
      </c>
      <c r="I9" t="inlineStr">
        <is>
          <t>[DEMO] Thử hệ số NC riêng cho một dòng cùng mã</t>
        </is>
      </c>
      <c r="J9" t="inlineStr">
        <is>
          <t>DEMO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&amp;LTA Estimate – &amp;A&amp;CTrang &amp;P/&amp;N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2026-09-30T10:17:27Z</dcterms:created>
  <dcterms:modified xmlns:dcterms="http://purl.org/dc/terms/" xmlns:xsi="http://www.w3.org/2001/XMLSchema-instance" xsi:type="dcterms:W3CDTF">2026-09-30T10:17:27Z</dcterms:modified>
</cp:coreProperties>
</file>